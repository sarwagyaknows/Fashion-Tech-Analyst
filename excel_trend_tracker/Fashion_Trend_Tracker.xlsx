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Inventory" sheetId="1" state="visible" r:id="rId3"/>
    <sheet name="Seasonal_Summary" sheetId="2" state="visible" r:id="rId4"/>
    <sheet name="SKU_Looku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<sst xmlns="http://schemas.openxmlformats.org/spreadsheetml/2006/main" count="367" uniqueCount="115">
  <si>
    <t xml:space="preserve">Raw Seasonal Inventory Data</t>
  </si>
  <si>
    <t xml:space="preserve">Synthetic dataset generated to model real seasonal sell-through patterns (no live scrape source available).</t>
  </si>
  <si>
    <t xml:space="preserve">SKU</t>
  </si>
  <si>
    <t xml:space="preserve">Category</t>
  </si>
  <si>
    <t xml:space="preserve">Season</t>
  </si>
  <si>
    <t xml:space="preserve">Month</t>
  </si>
  <si>
    <t xml:space="preserve">Units_Sold</t>
  </si>
  <si>
    <t xml:space="preserve">Units_In_Stock</t>
  </si>
  <si>
    <t xml:space="preserve">Price_INR</t>
  </si>
  <si>
    <t xml:space="preserve">Discount_Pct</t>
  </si>
  <si>
    <t xml:space="preserve">SKU-T-0001</t>
  </si>
  <si>
    <t xml:space="preserve">T-Shirt</t>
  </si>
  <si>
    <t xml:space="preserve">Summer</t>
  </si>
  <si>
    <t xml:space="preserve">Mar</t>
  </si>
  <si>
    <t xml:space="preserve">SKU-T-0002</t>
  </si>
  <si>
    <t xml:space="preserve">Apr</t>
  </si>
  <si>
    <t xml:space="preserve">SKU-T-0003</t>
  </si>
  <si>
    <t xml:space="preserve">May</t>
  </si>
  <si>
    <t xml:space="preserve">SKU-T-0004</t>
  </si>
  <si>
    <t xml:space="preserve">Jun</t>
  </si>
  <si>
    <t xml:space="preserve">SKU-JE0005</t>
  </si>
  <si>
    <t xml:space="preserve">Jeans</t>
  </si>
  <si>
    <t xml:space="preserve">SKU-JE0006</t>
  </si>
  <si>
    <t xml:space="preserve">SKU-JE0007</t>
  </si>
  <si>
    <t xml:space="preserve">SKU-JE0008</t>
  </si>
  <si>
    <t xml:space="preserve">SKU-DR0009</t>
  </si>
  <si>
    <t xml:space="preserve">Dress</t>
  </si>
  <si>
    <t xml:space="preserve">SKU-DR0010</t>
  </si>
  <si>
    <t xml:space="preserve">SKU-DR0011</t>
  </si>
  <si>
    <t xml:space="preserve">SKU-DR0012</t>
  </si>
  <si>
    <t xml:space="preserve">SKU-JA0013</t>
  </si>
  <si>
    <t xml:space="preserve">Jacket</t>
  </si>
  <si>
    <t xml:space="preserve">SKU-JA0014</t>
  </si>
  <si>
    <t xml:space="preserve">SKU-JA0015</t>
  </si>
  <si>
    <t xml:space="preserve">SKU-JA0016</t>
  </si>
  <si>
    <t xml:space="preserve">SKU-KU0017</t>
  </si>
  <si>
    <t xml:space="preserve">Kurta</t>
  </si>
  <si>
    <t xml:space="preserve">SKU-KU0018</t>
  </si>
  <si>
    <t xml:space="preserve">SKU-KU0019</t>
  </si>
  <si>
    <t xml:space="preserve">SKU-KU0020</t>
  </si>
  <si>
    <t xml:space="preserve">SKU-SN0021</t>
  </si>
  <si>
    <t xml:space="preserve">Sneakers</t>
  </si>
  <si>
    <t xml:space="preserve">SKU-SN0022</t>
  </si>
  <si>
    <t xml:space="preserve">SKU-SN0023</t>
  </si>
  <si>
    <t xml:space="preserve">SKU-SN0024</t>
  </si>
  <si>
    <t xml:space="preserve">SKU-T-0025</t>
  </si>
  <si>
    <t xml:space="preserve">Monsoon</t>
  </si>
  <si>
    <t xml:space="preserve">Jul</t>
  </si>
  <si>
    <t xml:space="preserve">SKU-T-0026</t>
  </si>
  <si>
    <t xml:space="preserve">Aug</t>
  </si>
  <si>
    <t xml:space="preserve">SKU-T-0027</t>
  </si>
  <si>
    <t xml:space="preserve">Sep</t>
  </si>
  <si>
    <t xml:space="preserve">SKU-JE0028</t>
  </si>
  <si>
    <t xml:space="preserve">SKU-JE0029</t>
  </si>
  <si>
    <t xml:space="preserve">SKU-JE0030</t>
  </si>
  <si>
    <t xml:space="preserve">SKU-DR0031</t>
  </si>
  <si>
    <t xml:space="preserve">SKU-DR0032</t>
  </si>
  <si>
    <t xml:space="preserve">SKU-DR0033</t>
  </si>
  <si>
    <t xml:space="preserve">SKU-JA0034</t>
  </si>
  <si>
    <t xml:space="preserve">SKU-JA0035</t>
  </si>
  <si>
    <t xml:space="preserve">SKU-JA0036</t>
  </si>
  <si>
    <t xml:space="preserve">SKU-KU0037</t>
  </si>
  <si>
    <t xml:space="preserve">SKU-KU0038</t>
  </si>
  <si>
    <t xml:space="preserve">SKU-KU0039</t>
  </si>
  <si>
    <t xml:space="preserve">SKU-SN0040</t>
  </si>
  <si>
    <t xml:space="preserve">SKU-SN0041</t>
  </si>
  <si>
    <t xml:space="preserve">SKU-SN0042</t>
  </si>
  <si>
    <t xml:space="preserve">SKU-T-0043</t>
  </si>
  <si>
    <t xml:space="preserve">Winter</t>
  </si>
  <si>
    <t xml:space="preserve">Oct</t>
  </si>
  <si>
    <t xml:space="preserve">SKU-T-0044</t>
  </si>
  <si>
    <t xml:space="preserve">Nov</t>
  </si>
  <si>
    <t xml:space="preserve">SKU-T-0045</t>
  </si>
  <si>
    <t xml:space="preserve">Dec</t>
  </si>
  <si>
    <t xml:space="preserve">SKU-T-0046</t>
  </si>
  <si>
    <t xml:space="preserve">Jan</t>
  </si>
  <si>
    <t xml:space="preserve">SKU-JE0047</t>
  </si>
  <si>
    <t xml:space="preserve">SKU-JE0048</t>
  </si>
  <si>
    <t xml:space="preserve">SKU-JE0049</t>
  </si>
  <si>
    <t xml:space="preserve">SKU-JE0050</t>
  </si>
  <si>
    <t xml:space="preserve">SKU-DR0051</t>
  </si>
  <si>
    <t xml:space="preserve">SKU-DR0052</t>
  </si>
  <si>
    <t xml:space="preserve">SKU-DR0053</t>
  </si>
  <si>
    <t xml:space="preserve">SKU-DR0054</t>
  </si>
  <si>
    <t xml:space="preserve">SKU-JA0055</t>
  </si>
  <si>
    <t xml:space="preserve">SKU-JA0056</t>
  </si>
  <si>
    <t xml:space="preserve">SKU-JA0057</t>
  </si>
  <si>
    <t xml:space="preserve">SKU-JA0058</t>
  </si>
  <si>
    <t xml:space="preserve">SKU-KU0059</t>
  </si>
  <si>
    <t xml:space="preserve">SKU-KU0060</t>
  </si>
  <si>
    <t xml:space="preserve">SKU-KU0061</t>
  </si>
  <si>
    <t xml:space="preserve">SKU-KU0062</t>
  </si>
  <si>
    <t xml:space="preserve">SKU-SN0063</t>
  </si>
  <si>
    <t xml:space="preserve">SKU-SN0064</t>
  </si>
  <si>
    <t xml:space="preserve">SKU-SN0065</t>
  </si>
  <si>
    <t xml:space="preserve">SKU-SN0066</t>
  </si>
  <si>
    <t xml:space="preserve">SKU-T-0067</t>
  </si>
  <si>
    <t xml:space="preserve">Spring</t>
  </si>
  <si>
    <t xml:space="preserve">Feb</t>
  </si>
  <si>
    <t xml:space="preserve">SKU-JE0068</t>
  </si>
  <si>
    <t xml:space="preserve">SKU-DR0069</t>
  </si>
  <si>
    <t xml:space="preserve">SKU-JA0070</t>
  </si>
  <si>
    <t xml:space="preserve">SKU-KU0071</t>
  </si>
  <si>
    <t xml:space="preserve">SKU-SN0072</t>
  </si>
  <si>
    <t xml:space="preserve">Seasonal Demand Summary (Category x Season)</t>
  </si>
  <si>
    <t xml:space="preserve">Built with SUMIFS / AVERAGEIFS against Raw_Inventory (recalculates automatically if raw data changes).</t>
  </si>
  <si>
    <t xml:space="preserve">Total_Units_Sold</t>
  </si>
  <si>
    <t xml:space="preserve">Avg_Units_In_Stock</t>
  </si>
  <si>
    <t xml:space="preserve">Avg_Price_INR</t>
  </si>
  <si>
    <t xml:space="preserve">Avg_Discount_Pct</t>
  </si>
  <si>
    <t xml:space="preserve">Stock_Cover_Ratio</t>
  </si>
  <si>
    <t xml:space="preserve">Reading it: high Total_Units_Sold + low Stock_Cover_Ratio = fast-fashion demand spike, restock priority.</t>
  </si>
  <si>
    <t xml:space="preserve">SKU Lookup Tool</t>
  </si>
  <si>
    <t xml:space="preserve">Type a SKU in the yellow cell. Uses INDEX/MATCH here (this sandbox's LibreOffice engine can't evaluate XLOOKUP), but this is functionally identical to XLOOKUP and the formula bar shows the underlying logic clearly.</t>
  </si>
  <si>
    <t xml:space="preserve">Enter SKU: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</si>
</sst>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"/>
    <numFmt numFmtId="167" formatCode="0.0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3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n">
        <v>96</v>
      </c>
      <c r="F5" s="4" t="n">
        <v>85</v>
      </c>
      <c r="G5" s="5" t="n">
        <v>641.76</v>
      </c>
      <c r="H5" s="4" t="n">
        <v>30</v>
      </c>
    </row>
    <row r="6" customFormat="false" ht="15" hidden="false" customHeight="false" outlineLevel="0" collapsed="false">
      <c r="A6" s="4" t="s">
        <v>14</v>
      </c>
      <c r="B6" s="4" t="s">
        <v>11</v>
      </c>
      <c r="C6" s="4" t="s">
        <v>12</v>
      </c>
      <c r="D6" s="4" t="s">
        <v>15</v>
      </c>
      <c r="E6" s="4" t="n">
        <v>162</v>
      </c>
      <c r="F6" s="4" t="n">
        <v>181</v>
      </c>
      <c r="G6" s="5" t="n">
        <v>666.62</v>
      </c>
      <c r="H6" s="4" t="n">
        <v>0</v>
      </c>
    </row>
    <row r="7" customFormat="false" ht="15" hidden="false" customHeight="false" outlineLevel="0" collapsed="false">
      <c r="A7" s="4" t="s">
        <v>16</v>
      </c>
      <c r="B7" s="4" t="s">
        <v>11</v>
      </c>
      <c r="C7" s="4" t="s">
        <v>12</v>
      </c>
      <c r="D7" s="4" t="s">
        <v>17</v>
      </c>
      <c r="E7" s="4" t="n">
        <v>84</v>
      </c>
      <c r="F7" s="4" t="n">
        <v>32</v>
      </c>
      <c r="G7" s="5" t="n">
        <v>703.28</v>
      </c>
      <c r="H7" s="4" t="n">
        <v>30</v>
      </c>
    </row>
    <row r="8" customFormat="false" ht="15" hidden="false" customHeight="false" outlineLevel="0" collapsed="false">
      <c r="A8" s="4" t="s">
        <v>18</v>
      </c>
      <c r="B8" s="4" t="s">
        <v>11</v>
      </c>
      <c r="C8" s="4" t="s">
        <v>12</v>
      </c>
      <c r="D8" s="4" t="s">
        <v>19</v>
      </c>
      <c r="E8" s="4" t="n">
        <v>100</v>
      </c>
      <c r="F8" s="4" t="n">
        <v>86</v>
      </c>
      <c r="G8" s="5" t="n">
        <v>794.71</v>
      </c>
      <c r="H8" s="4" t="n">
        <v>30</v>
      </c>
    </row>
    <row r="9" customFormat="false" ht="15" hidden="false" customHeight="false" outlineLevel="0" collapsed="false">
      <c r="A9" s="4" t="s">
        <v>20</v>
      </c>
      <c r="B9" s="4" t="s">
        <v>21</v>
      </c>
      <c r="C9" s="4" t="s">
        <v>12</v>
      </c>
      <c r="D9" s="4" t="s">
        <v>13</v>
      </c>
      <c r="E9" s="4" t="n">
        <v>39</v>
      </c>
      <c r="F9" s="4" t="n">
        <v>19</v>
      </c>
      <c r="G9" s="5" t="n">
        <v>1765.54</v>
      </c>
      <c r="H9" s="4" t="n">
        <v>10</v>
      </c>
    </row>
    <row r="10" customFormat="false" ht="15" hidden="false" customHeight="false" outlineLevel="0" collapsed="false">
      <c r="A10" s="4" t="s">
        <v>22</v>
      </c>
      <c r="B10" s="4" t="s">
        <v>21</v>
      </c>
      <c r="C10" s="4" t="s">
        <v>12</v>
      </c>
      <c r="D10" s="4" t="s">
        <v>15</v>
      </c>
      <c r="E10" s="4" t="n">
        <v>38</v>
      </c>
      <c r="F10" s="4" t="n">
        <v>15</v>
      </c>
      <c r="G10" s="5" t="n">
        <v>1660.13</v>
      </c>
      <c r="H10" s="4" t="n">
        <v>40</v>
      </c>
    </row>
    <row r="11" customFormat="false" ht="15" hidden="false" customHeight="false" outlineLevel="0" collapsed="false">
      <c r="A11" s="4" t="s">
        <v>23</v>
      </c>
      <c r="B11" s="4" t="s">
        <v>21</v>
      </c>
      <c r="C11" s="4" t="s">
        <v>12</v>
      </c>
      <c r="D11" s="4" t="s">
        <v>17</v>
      </c>
      <c r="E11" s="4" t="n">
        <v>66</v>
      </c>
      <c r="F11" s="4" t="n">
        <v>57</v>
      </c>
      <c r="G11" s="5" t="n">
        <v>1687.28</v>
      </c>
      <c r="H11" s="4" t="n">
        <v>30</v>
      </c>
    </row>
    <row r="12" customFormat="false" ht="15" hidden="false" customHeight="false" outlineLevel="0" collapsed="false">
      <c r="A12" s="4" t="s">
        <v>24</v>
      </c>
      <c r="B12" s="4" t="s">
        <v>21</v>
      </c>
      <c r="C12" s="4" t="s">
        <v>12</v>
      </c>
      <c r="D12" s="4" t="s">
        <v>19</v>
      </c>
      <c r="E12" s="4" t="n">
        <v>99</v>
      </c>
      <c r="F12" s="4" t="n">
        <v>84</v>
      </c>
      <c r="G12" s="5" t="n">
        <v>1739.95</v>
      </c>
      <c r="H12" s="4" t="n">
        <v>30</v>
      </c>
    </row>
    <row r="13" customFormat="false" ht="15" hidden="false" customHeight="false" outlineLevel="0" collapsed="false">
      <c r="A13" s="4" t="s">
        <v>25</v>
      </c>
      <c r="B13" s="4" t="s">
        <v>26</v>
      </c>
      <c r="C13" s="4" t="s">
        <v>12</v>
      </c>
      <c r="D13" s="4" t="s">
        <v>13</v>
      </c>
      <c r="E13" s="4" t="n">
        <v>135</v>
      </c>
      <c r="F13" s="4" t="n">
        <v>111</v>
      </c>
      <c r="G13" s="5" t="n">
        <v>1518.93</v>
      </c>
      <c r="H13" s="4" t="n">
        <v>15</v>
      </c>
    </row>
    <row r="14" customFormat="false" ht="15" hidden="false" customHeight="false" outlineLevel="0" collapsed="false">
      <c r="A14" s="4" t="s">
        <v>27</v>
      </c>
      <c r="B14" s="4" t="s">
        <v>26</v>
      </c>
      <c r="C14" s="4" t="s">
        <v>12</v>
      </c>
      <c r="D14" s="4" t="s">
        <v>15</v>
      </c>
      <c r="E14" s="4" t="n">
        <v>98</v>
      </c>
      <c r="F14" s="4" t="n">
        <v>98</v>
      </c>
      <c r="G14" s="5" t="n">
        <v>1379.78</v>
      </c>
      <c r="H14" s="4" t="n">
        <v>15</v>
      </c>
    </row>
    <row r="15" customFormat="false" ht="15" hidden="false" customHeight="false" outlineLevel="0" collapsed="false">
      <c r="A15" s="4" t="s">
        <v>28</v>
      </c>
      <c r="B15" s="4" t="s">
        <v>26</v>
      </c>
      <c r="C15" s="4" t="s">
        <v>12</v>
      </c>
      <c r="D15" s="4" t="s">
        <v>17</v>
      </c>
      <c r="E15" s="4" t="n">
        <v>263</v>
      </c>
      <c r="F15" s="4" t="n">
        <v>251</v>
      </c>
      <c r="G15" s="5" t="n">
        <v>1457</v>
      </c>
      <c r="H15" s="4" t="n">
        <v>0</v>
      </c>
    </row>
    <row r="16" customFormat="false" ht="15" hidden="false" customHeight="false" outlineLevel="0" collapsed="false">
      <c r="A16" s="4" t="s">
        <v>29</v>
      </c>
      <c r="B16" s="4" t="s">
        <v>26</v>
      </c>
      <c r="C16" s="4" t="s">
        <v>12</v>
      </c>
      <c r="D16" s="4" t="s">
        <v>19</v>
      </c>
      <c r="E16" s="4" t="n">
        <v>134</v>
      </c>
      <c r="F16" s="4" t="n">
        <v>131</v>
      </c>
      <c r="G16" s="5" t="n">
        <v>1406.06</v>
      </c>
      <c r="H16" s="4" t="n">
        <v>20</v>
      </c>
    </row>
    <row r="17" customFormat="false" ht="15" hidden="false" customHeight="false" outlineLevel="0" collapsed="false">
      <c r="A17" s="4" t="s">
        <v>30</v>
      </c>
      <c r="B17" s="4" t="s">
        <v>31</v>
      </c>
      <c r="C17" s="4" t="s">
        <v>12</v>
      </c>
      <c r="D17" s="4" t="s">
        <v>13</v>
      </c>
      <c r="E17" s="4" t="n">
        <v>117</v>
      </c>
      <c r="F17" s="4" t="n">
        <v>43</v>
      </c>
      <c r="G17" s="5" t="n">
        <v>2597.76</v>
      </c>
      <c r="H17" s="4" t="n">
        <v>15</v>
      </c>
    </row>
    <row r="18" customFormat="false" ht="15" hidden="false" customHeight="false" outlineLevel="0" collapsed="false">
      <c r="A18" s="4" t="s">
        <v>32</v>
      </c>
      <c r="B18" s="4" t="s">
        <v>31</v>
      </c>
      <c r="C18" s="4" t="s">
        <v>12</v>
      </c>
      <c r="D18" s="4" t="s">
        <v>15</v>
      </c>
      <c r="E18" s="4" t="n">
        <v>57</v>
      </c>
      <c r="F18" s="4" t="n">
        <v>42</v>
      </c>
      <c r="G18" s="5" t="n">
        <v>2746.96</v>
      </c>
      <c r="H18" s="4" t="n">
        <v>0</v>
      </c>
    </row>
    <row r="19" customFormat="false" ht="15" hidden="false" customHeight="false" outlineLevel="0" collapsed="false">
      <c r="A19" s="4" t="s">
        <v>33</v>
      </c>
      <c r="B19" s="4" t="s">
        <v>31</v>
      </c>
      <c r="C19" s="4" t="s">
        <v>12</v>
      </c>
      <c r="D19" s="4" t="s">
        <v>17</v>
      </c>
      <c r="E19" s="4" t="n">
        <v>153</v>
      </c>
      <c r="F19" s="4" t="n">
        <v>111</v>
      </c>
      <c r="G19" s="5" t="n">
        <v>2664.03</v>
      </c>
      <c r="H19" s="4" t="n">
        <v>0</v>
      </c>
    </row>
    <row r="20" customFormat="false" ht="15" hidden="false" customHeight="false" outlineLevel="0" collapsed="false">
      <c r="A20" s="4" t="s">
        <v>34</v>
      </c>
      <c r="B20" s="4" t="s">
        <v>31</v>
      </c>
      <c r="C20" s="4" t="s">
        <v>12</v>
      </c>
      <c r="D20" s="4" t="s">
        <v>19</v>
      </c>
      <c r="E20" s="4" t="n">
        <v>72</v>
      </c>
      <c r="F20" s="4" t="n">
        <v>59</v>
      </c>
      <c r="G20" s="5" t="n">
        <v>2674.7</v>
      </c>
      <c r="H20" s="4" t="n">
        <v>20</v>
      </c>
    </row>
    <row r="21" customFormat="false" ht="15" hidden="false" customHeight="false" outlineLevel="0" collapsed="false">
      <c r="A21" s="4" t="s">
        <v>35</v>
      </c>
      <c r="B21" s="4" t="s">
        <v>36</v>
      </c>
      <c r="C21" s="4" t="s">
        <v>12</v>
      </c>
      <c r="D21" s="4" t="s">
        <v>13</v>
      </c>
      <c r="E21" s="4" t="n">
        <v>57</v>
      </c>
      <c r="F21" s="4" t="n">
        <v>51</v>
      </c>
      <c r="G21" s="5" t="n">
        <v>1085.86</v>
      </c>
      <c r="H21" s="4" t="n">
        <v>20</v>
      </c>
    </row>
    <row r="22" customFormat="false" ht="15" hidden="false" customHeight="false" outlineLevel="0" collapsed="false">
      <c r="A22" s="4" t="s">
        <v>37</v>
      </c>
      <c r="B22" s="4" t="s">
        <v>36</v>
      </c>
      <c r="C22" s="4" t="s">
        <v>12</v>
      </c>
      <c r="D22" s="4" t="s">
        <v>15</v>
      </c>
      <c r="E22" s="4" t="n">
        <v>80</v>
      </c>
      <c r="F22" s="4" t="n">
        <v>59</v>
      </c>
      <c r="G22" s="5" t="n">
        <v>1144.51</v>
      </c>
      <c r="H22" s="4" t="n">
        <v>15</v>
      </c>
    </row>
    <row r="23" customFormat="false" ht="15" hidden="false" customHeight="false" outlineLevel="0" collapsed="false">
      <c r="A23" s="4" t="s">
        <v>38</v>
      </c>
      <c r="B23" s="4" t="s">
        <v>36</v>
      </c>
      <c r="C23" s="4" t="s">
        <v>12</v>
      </c>
      <c r="D23" s="4" t="s">
        <v>17</v>
      </c>
      <c r="E23" s="4" t="n">
        <v>40</v>
      </c>
      <c r="F23" s="4" t="n">
        <v>26</v>
      </c>
      <c r="G23" s="5" t="n">
        <v>1340.31</v>
      </c>
      <c r="H23" s="4" t="n">
        <v>0</v>
      </c>
    </row>
    <row r="24" customFormat="false" ht="15" hidden="false" customHeight="false" outlineLevel="0" collapsed="false">
      <c r="A24" s="4" t="s">
        <v>39</v>
      </c>
      <c r="B24" s="4" t="s">
        <v>36</v>
      </c>
      <c r="C24" s="4" t="s">
        <v>12</v>
      </c>
      <c r="D24" s="4" t="s">
        <v>19</v>
      </c>
      <c r="E24" s="4" t="n">
        <v>52</v>
      </c>
      <c r="F24" s="4" t="n">
        <v>28</v>
      </c>
      <c r="G24" s="5" t="n">
        <v>1120.14</v>
      </c>
      <c r="H24" s="4" t="n">
        <v>20</v>
      </c>
    </row>
    <row r="25" customFormat="false" ht="15" hidden="false" customHeight="false" outlineLevel="0" collapsed="false">
      <c r="A25" s="4" t="s">
        <v>40</v>
      </c>
      <c r="B25" s="4" t="s">
        <v>41</v>
      </c>
      <c r="C25" s="4" t="s">
        <v>12</v>
      </c>
      <c r="D25" s="4" t="s">
        <v>13</v>
      </c>
      <c r="E25" s="4" t="n">
        <v>74</v>
      </c>
      <c r="F25" s="4" t="n">
        <v>49</v>
      </c>
      <c r="G25" s="5" t="n">
        <v>2968.09</v>
      </c>
      <c r="H25" s="4" t="n">
        <v>20</v>
      </c>
    </row>
    <row r="26" customFormat="false" ht="15" hidden="false" customHeight="false" outlineLevel="0" collapsed="false">
      <c r="A26" s="4" t="s">
        <v>42</v>
      </c>
      <c r="B26" s="4" t="s">
        <v>41</v>
      </c>
      <c r="C26" s="4" t="s">
        <v>12</v>
      </c>
      <c r="D26" s="4" t="s">
        <v>15</v>
      </c>
      <c r="E26" s="4" t="n">
        <v>62</v>
      </c>
      <c r="F26" s="4" t="n">
        <v>28</v>
      </c>
      <c r="G26" s="5" t="n">
        <v>2873.01</v>
      </c>
      <c r="H26" s="4" t="n">
        <v>10</v>
      </c>
    </row>
    <row r="27" customFormat="false" ht="15" hidden="false" customHeight="false" outlineLevel="0" collapsed="false">
      <c r="A27" s="4" t="s">
        <v>43</v>
      </c>
      <c r="B27" s="4" t="s">
        <v>41</v>
      </c>
      <c r="C27" s="4" t="s">
        <v>12</v>
      </c>
      <c r="D27" s="4" t="s">
        <v>17</v>
      </c>
      <c r="E27" s="4" t="n">
        <v>70</v>
      </c>
      <c r="F27" s="4" t="n">
        <v>32</v>
      </c>
      <c r="G27" s="5" t="n">
        <v>2910.48</v>
      </c>
      <c r="H27" s="4" t="n">
        <v>10</v>
      </c>
    </row>
    <row r="28" customFormat="false" ht="15" hidden="false" customHeight="false" outlineLevel="0" collapsed="false">
      <c r="A28" s="4" t="s">
        <v>44</v>
      </c>
      <c r="B28" s="4" t="s">
        <v>41</v>
      </c>
      <c r="C28" s="4" t="s">
        <v>12</v>
      </c>
      <c r="D28" s="4" t="s">
        <v>19</v>
      </c>
      <c r="E28" s="4" t="n">
        <v>63</v>
      </c>
      <c r="F28" s="4" t="n">
        <v>51</v>
      </c>
      <c r="G28" s="5" t="n">
        <v>3413.69</v>
      </c>
      <c r="H28" s="4" t="n">
        <v>40</v>
      </c>
    </row>
    <row r="29" customFormat="false" ht="15" hidden="false" customHeight="false" outlineLevel="0" collapsed="false">
      <c r="A29" s="4" t="s">
        <v>45</v>
      </c>
      <c r="B29" s="4" t="s">
        <v>11</v>
      </c>
      <c r="C29" s="4" t="s">
        <v>46</v>
      </c>
      <c r="D29" s="4" t="s">
        <v>47</v>
      </c>
      <c r="E29" s="4" t="n">
        <v>156</v>
      </c>
      <c r="F29" s="4" t="n">
        <v>138</v>
      </c>
      <c r="G29" s="5" t="n">
        <v>758.38</v>
      </c>
      <c r="H29" s="4" t="n">
        <v>20</v>
      </c>
    </row>
    <row r="30" customFormat="false" ht="15" hidden="false" customHeight="false" outlineLevel="0" collapsed="false">
      <c r="A30" s="4" t="s">
        <v>48</v>
      </c>
      <c r="B30" s="4" t="s">
        <v>11</v>
      </c>
      <c r="C30" s="4" t="s">
        <v>46</v>
      </c>
      <c r="D30" s="4" t="s">
        <v>49</v>
      </c>
      <c r="E30" s="4" t="n">
        <v>138</v>
      </c>
      <c r="F30" s="4" t="n">
        <v>150</v>
      </c>
      <c r="G30" s="5" t="n">
        <v>768.53</v>
      </c>
      <c r="H30" s="4" t="n">
        <v>20</v>
      </c>
    </row>
    <row r="31" customFormat="false" ht="15" hidden="false" customHeight="false" outlineLevel="0" collapsed="false">
      <c r="A31" s="4" t="s">
        <v>50</v>
      </c>
      <c r="B31" s="4" t="s">
        <v>11</v>
      </c>
      <c r="C31" s="4" t="s">
        <v>46</v>
      </c>
      <c r="D31" s="4" t="s">
        <v>51</v>
      </c>
      <c r="E31" s="4" t="n">
        <v>64</v>
      </c>
      <c r="F31" s="4" t="n">
        <v>46</v>
      </c>
      <c r="G31" s="5" t="n">
        <v>699.08</v>
      </c>
      <c r="H31" s="4" t="n">
        <v>10</v>
      </c>
    </row>
    <row r="32" customFormat="false" ht="15" hidden="false" customHeight="false" outlineLevel="0" collapsed="false">
      <c r="A32" s="4" t="s">
        <v>52</v>
      </c>
      <c r="B32" s="4" t="s">
        <v>21</v>
      </c>
      <c r="C32" s="4" t="s">
        <v>46</v>
      </c>
      <c r="D32" s="4" t="s">
        <v>47</v>
      </c>
      <c r="E32" s="4" t="n">
        <v>35</v>
      </c>
      <c r="F32" s="4" t="n">
        <v>15</v>
      </c>
      <c r="G32" s="5" t="n">
        <v>1673.54</v>
      </c>
      <c r="H32" s="4" t="n">
        <v>0</v>
      </c>
    </row>
    <row r="33" customFormat="false" ht="15" hidden="false" customHeight="false" outlineLevel="0" collapsed="false">
      <c r="A33" s="4" t="s">
        <v>53</v>
      </c>
      <c r="B33" s="4" t="s">
        <v>21</v>
      </c>
      <c r="C33" s="4" t="s">
        <v>46</v>
      </c>
      <c r="D33" s="4" t="s">
        <v>49</v>
      </c>
      <c r="E33" s="4" t="n">
        <v>60</v>
      </c>
      <c r="F33" s="4" t="n">
        <v>46</v>
      </c>
      <c r="G33" s="5" t="n">
        <v>1932.17</v>
      </c>
      <c r="H33" s="4" t="n">
        <v>30</v>
      </c>
    </row>
    <row r="34" customFormat="false" ht="15" hidden="false" customHeight="false" outlineLevel="0" collapsed="false">
      <c r="A34" s="4" t="s">
        <v>54</v>
      </c>
      <c r="B34" s="4" t="s">
        <v>21</v>
      </c>
      <c r="C34" s="4" t="s">
        <v>46</v>
      </c>
      <c r="D34" s="4" t="s">
        <v>51</v>
      </c>
      <c r="E34" s="4" t="n">
        <v>74</v>
      </c>
      <c r="F34" s="4" t="n">
        <v>63</v>
      </c>
      <c r="G34" s="5" t="n">
        <v>1592.2</v>
      </c>
      <c r="H34" s="4" t="n">
        <v>15</v>
      </c>
    </row>
    <row r="35" customFormat="false" ht="15" hidden="false" customHeight="false" outlineLevel="0" collapsed="false">
      <c r="A35" s="4" t="s">
        <v>55</v>
      </c>
      <c r="B35" s="4" t="s">
        <v>26</v>
      </c>
      <c r="C35" s="4" t="s">
        <v>46</v>
      </c>
      <c r="D35" s="4" t="s">
        <v>47</v>
      </c>
      <c r="E35" s="4" t="n">
        <v>120</v>
      </c>
      <c r="F35" s="4" t="n">
        <v>87</v>
      </c>
      <c r="G35" s="5" t="n">
        <v>1392.33</v>
      </c>
      <c r="H35" s="4" t="n">
        <v>20</v>
      </c>
    </row>
    <row r="36" customFormat="false" ht="15" hidden="false" customHeight="false" outlineLevel="0" collapsed="false">
      <c r="A36" s="4" t="s">
        <v>56</v>
      </c>
      <c r="B36" s="4" t="s">
        <v>26</v>
      </c>
      <c r="C36" s="4" t="s">
        <v>46</v>
      </c>
      <c r="D36" s="4" t="s">
        <v>49</v>
      </c>
      <c r="E36" s="4" t="n">
        <v>105</v>
      </c>
      <c r="F36" s="4" t="n">
        <v>77</v>
      </c>
      <c r="G36" s="5" t="n">
        <v>1381.29</v>
      </c>
      <c r="H36" s="4" t="n">
        <v>0</v>
      </c>
    </row>
    <row r="37" customFormat="false" ht="15" hidden="false" customHeight="false" outlineLevel="0" collapsed="false">
      <c r="A37" s="4" t="s">
        <v>57</v>
      </c>
      <c r="B37" s="4" t="s">
        <v>26</v>
      </c>
      <c r="C37" s="4" t="s">
        <v>46</v>
      </c>
      <c r="D37" s="4" t="s">
        <v>51</v>
      </c>
      <c r="E37" s="4" t="n">
        <v>122</v>
      </c>
      <c r="F37" s="4" t="n">
        <v>89</v>
      </c>
      <c r="G37" s="5" t="n">
        <v>1608.45</v>
      </c>
      <c r="H37" s="4" t="n">
        <v>30</v>
      </c>
    </row>
    <row r="38" customFormat="false" ht="15" hidden="false" customHeight="false" outlineLevel="0" collapsed="false">
      <c r="A38" s="4" t="s">
        <v>58</v>
      </c>
      <c r="B38" s="4" t="s">
        <v>31</v>
      </c>
      <c r="C38" s="4" t="s">
        <v>46</v>
      </c>
      <c r="D38" s="4" t="s">
        <v>47</v>
      </c>
      <c r="E38" s="4" t="n">
        <v>79</v>
      </c>
      <c r="F38" s="4" t="n">
        <v>61</v>
      </c>
      <c r="G38" s="5" t="n">
        <v>2340.69</v>
      </c>
      <c r="H38" s="4" t="n">
        <v>30</v>
      </c>
    </row>
    <row r="39" customFormat="false" ht="15" hidden="false" customHeight="false" outlineLevel="0" collapsed="false">
      <c r="A39" s="4" t="s">
        <v>59</v>
      </c>
      <c r="B39" s="4" t="s">
        <v>31</v>
      </c>
      <c r="C39" s="4" t="s">
        <v>46</v>
      </c>
      <c r="D39" s="4" t="s">
        <v>49</v>
      </c>
      <c r="E39" s="4" t="n">
        <v>137</v>
      </c>
      <c r="F39" s="4" t="n">
        <v>77</v>
      </c>
      <c r="G39" s="5" t="n">
        <v>2650.76</v>
      </c>
      <c r="H39" s="4" t="n">
        <v>0</v>
      </c>
    </row>
    <row r="40" customFormat="false" ht="15" hidden="false" customHeight="false" outlineLevel="0" collapsed="false">
      <c r="A40" s="4" t="s">
        <v>60</v>
      </c>
      <c r="B40" s="4" t="s">
        <v>31</v>
      </c>
      <c r="C40" s="4" t="s">
        <v>46</v>
      </c>
      <c r="D40" s="4" t="s">
        <v>51</v>
      </c>
      <c r="E40" s="4" t="n">
        <v>65</v>
      </c>
      <c r="F40" s="4" t="n">
        <v>40</v>
      </c>
      <c r="G40" s="5" t="n">
        <v>2353.46</v>
      </c>
      <c r="H40" s="4" t="n">
        <v>10</v>
      </c>
    </row>
    <row r="41" customFormat="false" ht="15" hidden="false" customHeight="false" outlineLevel="0" collapsed="false">
      <c r="A41" s="4" t="s">
        <v>61</v>
      </c>
      <c r="B41" s="4" t="s">
        <v>36</v>
      </c>
      <c r="C41" s="4" t="s">
        <v>46</v>
      </c>
      <c r="D41" s="4" t="s">
        <v>47</v>
      </c>
      <c r="E41" s="4" t="n">
        <v>109</v>
      </c>
      <c r="F41" s="4" t="n">
        <v>65</v>
      </c>
      <c r="G41" s="5" t="n">
        <v>1145.96</v>
      </c>
      <c r="H41" s="4" t="n">
        <v>10</v>
      </c>
    </row>
    <row r="42" customFormat="false" ht="15" hidden="false" customHeight="false" outlineLevel="0" collapsed="false">
      <c r="A42" s="4" t="s">
        <v>62</v>
      </c>
      <c r="B42" s="4" t="s">
        <v>36</v>
      </c>
      <c r="C42" s="4" t="s">
        <v>46</v>
      </c>
      <c r="D42" s="4" t="s">
        <v>49</v>
      </c>
      <c r="E42" s="4" t="n">
        <v>135</v>
      </c>
      <c r="F42" s="4" t="n">
        <v>130</v>
      </c>
      <c r="G42" s="5" t="n">
        <v>1147.07</v>
      </c>
      <c r="H42" s="4" t="n">
        <v>30</v>
      </c>
    </row>
    <row r="43" customFormat="false" ht="15" hidden="false" customHeight="false" outlineLevel="0" collapsed="false">
      <c r="A43" s="4" t="s">
        <v>63</v>
      </c>
      <c r="B43" s="4" t="s">
        <v>36</v>
      </c>
      <c r="C43" s="4" t="s">
        <v>46</v>
      </c>
      <c r="D43" s="4" t="s">
        <v>51</v>
      </c>
      <c r="E43" s="4" t="n">
        <v>101</v>
      </c>
      <c r="F43" s="4" t="n">
        <v>120</v>
      </c>
      <c r="G43" s="5" t="n">
        <v>1315.94</v>
      </c>
      <c r="H43" s="4" t="n">
        <v>20</v>
      </c>
    </row>
    <row r="44" customFormat="false" ht="15" hidden="false" customHeight="false" outlineLevel="0" collapsed="false">
      <c r="A44" s="4" t="s">
        <v>64</v>
      </c>
      <c r="B44" s="4" t="s">
        <v>41</v>
      </c>
      <c r="C44" s="4" t="s">
        <v>46</v>
      </c>
      <c r="D44" s="4" t="s">
        <v>47</v>
      </c>
      <c r="E44" s="4" t="n">
        <v>197</v>
      </c>
      <c r="F44" s="4" t="n">
        <v>228</v>
      </c>
      <c r="G44" s="5" t="n">
        <v>3034.41</v>
      </c>
      <c r="H44" s="4" t="n">
        <v>40</v>
      </c>
    </row>
    <row r="45" customFormat="false" ht="15" hidden="false" customHeight="false" outlineLevel="0" collapsed="false">
      <c r="A45" s="4" t="s">
        <v>65</v>
      </c>
      <c r="B45" s="4" t="s">
        <v>41</v>
      </c>
      <c r="C45" s="4" t="s">
        <v>46</v>
      </c>
      <c r="D45" s="4" t="s">
        <v>49</v>
      </c>
      <c r="E45" s="4" t="n">
        <v>338</v>
      </c>
      <c r="F45" s="4" t="n">
        <v>212</v>
      </c>
      <c r="G45" s="5" t="n">
        <v>2864.39</v>
      </c>
      <c r="H45" s="4" t="n">
        <v>10</v>
      </c>
    </row>
    <row r="46" customFormat="false" ht="15" hidden="false" customHeight="false" outlineLevel="0" collapsed="false">
      <c r="A46" s="4" t="s">
        <v>66</v>
      </c>
      <c r="B46" s="4" t="s">
        <v>41</v>
      </c>
      <c r="C46" s="4" t="s">
        <v>46</v>
      </c>
      <c r="D46" s="4" t="s">
        <v>51</v>
      </c>
      <c r="E46" s="4" t="n">
        <v>143</v>
      </c>
      <c r="F46" s="4" t="n">
        <v>105</v>
      </c>
      <c r="G46" s="5" t="n">
        <v>3437.79</v>
      </c>
      <c r="H46" s="4" t="n">
        <v>30</v>
      </c>
    </row>
    <row r="47" customFormat="false" ht="15" hidden="false" customHeight="false" outlineLevel="0" collapsed="false">
      <c r="A47" s="4" t="s">
        <v>67</v>
      </c>
      <c r="B47" s="4" t="s">
        <v>11</v>
      </c>
      <c r="C47" s="4" t="s">
        <v>68</v>
      </c>
      <c r="D47" s="4" t="s">
        <v>69</v>
      </c>
      <c r="E47" s="4" t="n">
        <v>97</v>
      </c>
      <c r="F47" s="4" t="n">
        <v>86</v>
      </c>
      <c r="G47" s="5" t="n">
        <v>768.84</v>
      </c>
      <c r="H47" s="4" t="n">
        <v>0</v>
      </c>
    </row>
    <row r="48" customFormat="false" ht="15" hidden="false" customHeight="false" outlineLevel="0" collapsed="false">
      <c r="A48" s="4" t="s">
        <v>70</v>
      </c>
      <c r="B48" s="4" t="s">
        <v>11</v>
      </c>
      <c r="C48" s="4" t="s">
        <v>68</v>
      </c>
      <c r="D48" s="4" t="s">
        <v>71</v>
      </c>
      <c r="E48" s="4" t="n">
        <v>54</v>
      </c>
      <c r="F48" s="4" t="n">
        <v>35</v>
      </c>
      <c r="G48" s="5" t="n">
        <v>753.43</v>
      </c>
      <c r="H48" s="4" t="n">
        <v>10</v>
      </c>
    </row>
    <row r="49" customFormat="false" ht="15" hidden="false" customHeight="false" outlineLevel="0" collapsed="false">
      <c r="A49" s="4" t="s">
        <v>72</v>
      </c>
      <c r="B49" s="4" t="s">
        <v>11</v>
      </c>
      <c r="C49" s="4" t="s">
        <v>68</v>
      </c>
      <c r="D49" s="4" t="s">
        <v>73</v>
      </c>
      <c r="E49" s="4" t="n">
        <v>48</v>
      </c>
      <c r="F49" s="4" t="n">
        <v>48</v>
      </c>
      <c r="G49" s="5" t="n">
        <v>687.21</v>
      </c>
      <c r="H49" s="4" t="n">
        <v>40</v>
      </c>
    </row>
    <row r="50" customFormat="false" ht="15" hidden="false" customHeight="false" outlineLevel="0" collapsed="false">
      <c r="A50" s="4" t="s">
        <v>74</v>
      </c>
      <c r="B50" s="4" t="s">
        <v>11</v>
      </c>
      <c r="C50" s="4" t="s">
        <v>68</v>
      </c>
      <c r="D50" s="4" t="s">
        <v>75</v>
      </c>
      <c r="E50" s="4" t="n">
        <v>65</v>
      </c>
      <c r="F50" s="4" t="n">
        <v>74</v>
      </c>
      <c r="G50" s="5" t="n">
        <v>755.76</v>
      </c>
      <c r="H50" s="4" t="n">
        <v>10</v>
      </c>
    </row>
    <row r="51" customFormat="false" ht="15" hidden="false" customHeight="false" outlineLevel="0" collapsed="false">
      <c r="A51" s="4" t="s">
        <v>76</v>
      </c>
      <c r="B51" s="4" t="s">
        <v>21</v>
      </c>
      <c r="C51" s="4" t="s">
        <v>68</v>
      </c>
      <c r="D51" s="4" t="s">
        <v>69</v>
      </c>
      <c r="E51" s="4" t="n">
        <v>47</v>
      </c>
      <c r="F51" s="4" t="n">
        <v>39</v>
      </c>
      <c r="G51" s="5" t="n">
        <v>1726.76</v>
      </c>
      <c r="H51" s="4" t="n">
        <v>40</v>
      </c>
    </row>
    <row r="52" customFormat="false" ht="15" hidden="false" customHeight="false" outlineLevel="0" collapsed="false">
      <c r="A52" s="4" t="s">
        <v>77</v>
      </c>
      <c r="B52" s="4" t="s">
        <v>21</v>
      </c>
      <c r="C52" s="4" t="s">
        <v>68</v>
      </c>
      <c r="D52" s="4" t="s">
        <v>71</v>
      </c>
      <c r="E52" s="4" t="n">
        <v>81</v>
      </c>
      <c r="F52" s="4" t="n">
        <v>95</v>
      </c>
      <c r="G52" s="5" t="n">
        <v>1808.27</v>
      </c>
      <c r="H52" s="4" t="n">
        <v>15</v>
      </c>
    </row>
    <row r="53" customFormat="false" ht="15" hidden="false" customHeight="false" outlineLevel="0" collapsed="false">
      <c r="A53" s="4" t="s">
        <v>78</v>
      </c>
      <c r="B53" s="4" t="s">
        <v>21</v>
      </c>
      <c r="C53" s="4" t="s">
        <v>68</v>
      </c>
      <c r="D53" s="4" t="s">
        <v>73</v>
      </c>
      <c r="E53" s="4" t="n">
        <v>62</v>
      </c>
      <c r="F53" s="4" t="n">
        <v>19</v>
      </c>
      <c r="G53" s="5" t="n">
        <v>1868.63</v>
      </c>
      <c r="H53" s="4" t="n">
        <v>40</v>
      </c>
    </row>
    <row r="54" customFormat="false" ht="15" hidden="false" customHeight="false" outlineLevel="0" collapsed="false">
      <c r="A54" s="4" t="s">
        <v>79</v>
      </c>
      <c r="B54" s="4" t="s">
        <v>21</v>
      </c>
      <c r="C54" s="4" t="s">
        <v>68</v>
      </c>
      <c r="D54" s="4" t="s">
        <v>75</v>
      </c>
      <c r="E54" s="4" t="n">
        <v>91</v>
      </c>
      <c r="F54" s="4" t="n">
        <v>103</v>
      </c>
      <c r="G54" s="5" t="n">
        <v>1713.36</v>
      </c>
      <c r="H54" s="4" t="n">
        <v>10</v>
      </c>
    </row>
    <row r="55" customFormat="false" ht="15" hidden="false" customHeight="false" outlineLevel="0" collapsed="false">
      <c r="A55" s="4" t="s">
        <v>80</v>
      </c>
      <c r="B55" s="4" t="s">
        <v>26</v>
      </c>
      <c r="C55" s="4" t="s">
        <v>68</v>
      </c>
      <c r="D55" s="4" t="s">
        <v>69</v>
      </c>
      <c r="E55" s="4" t="n">
        <v>65</v>
      </c>
      <c r="F55" s="4" t="n">
        <v>34</v>
      </c>
      <c r="G55" s="5" t="n">
        <v>1458.89</v>
      </c>
      <c r="H55" s="4" t="n">
        <v>10</v>
      </c>
    </row>
    <row r="56" customFormat="false" ht="15" hidden="false" customHeight="false" outlineLevel="0" collapsed="false">
      <c r="A56" s="4" t="s">
        <v>81</v>
      </c>
      <c r="B56" s="4" t="s">
        <v>26</v>
      </c>
      <c r="C56" s="4" t="s">
        <v>68</v>
      </c>
      <c r="D56" s="4" t="s">
        <v>71</v>
      </c>
      <c r="E56" s="4" t="n">
        <v>75</v>
      </c>
      <c r="F56" s="4" t="n">
        <v>59</v>
      </c>
      <c r="G56" s="5" t="n">
        <v>1661.71</v>
      </c>
      <c r="H56" s="4" t="n">
        <v>0</v>
      </c>
    </row>
    <row r="57" customFormat="false" ht="15" hidden="false" customHeight="false" outlineLevel="0" collapsed="false">
      <c r="A57" s="4" t="s">
        <v>82</v>
      </c>
      <c r="B57" s="4" t="s">
        <v>26</v>
      </c>
      <c r="C57" s="4" t="s">
        <v>68</v>
      </c>
      <c r="D57" s="4" t="s">
        <v>73</v>
      </c>
      <c r="E57" s="4" t="n">
        <v>86</v>
      </c>
      <c r="F57" s="4" t="n">
        <v>61</v>
      </c>
      <c r="G57" s="5" t="n">
        <v>1567.71</v>
      </c>
      <c r="H57" s="4" t="n">
        <v>30</v>
      </c>
    </row>
    <row r="58" customFormat="false" ht="15" hidden="false" customHeight="false" outlineLevel="0" collapsed="false">
      <c r="A58" s="4" t="s">
        <v>83</v>
      </c>
      <c r="B58" s="4" t="s">
        <v>26</v>
      </c>
      <c r="C58" s="4" t="s">
        <v>68</v>
      </c>
      <c r="D58" s="4" t="s">
        <v>75</v>
      </c>
      <c r="E58" s="4" t="n">
        <v>112</v>
      </c>
      <c r="F58" s="4" t="n">
        <v>84</v>
      </c>
      <c r="G58" s="5" t="n">
        <v>1548.4</v>
      </c>
      <c r="H58" s="4" t="n">
        <v>30</v>
      </c>
    </row>
    <row r="59" customFormat="false" ht="15" hidden="false" customHeight="false" outlineLevel="0" collapsed="false">
      <c r="A59" s="4" t="s">
        <v>84</v>
      </c>
      <c r="B59" s="4" t="s">
        <v>31</v>
      </c>
      <c r="C59" s="4" t="s">
        <v>68</v>
      </c>
      <c r="D59" s="4" t="s">
        <v>69</v>
      </c>
      <c r="E59" s="4" t="n">
        <v>261</v>
      </c>
      <c r="F59" s="4" t="n">
        <v>260</v>
      </c>
      <c r="G59" s="5" t="n">
        <v>2629.29</v>
      </c>
      <c r="H59" s="4" t="n">
        <v>10</v>
      </c>
    </row>
    <row r="60" customFormat="false" ht="15" hidden="false" customHeight="false" outlineLevel="0" collapsed="false">
      <c r="A60" s="4" t="s">
        <v>85</v>
      </c>
      <c r="B60" s="4" t="s">
        <v>31</v>
      </c>
      <c r="C60" s="4" t="s">
        <v>68</v>
      </c>
      <c r="D60" s="4" t="s">
        <v>71</v>
      </c>
      <c r="E60" s="4" t="n">
        <v>148</v>
      </c>
      <c r="F60" s="4" t="n">
        <v>140</v>
      </c>
      <c r="G60" s="5" t="n">
        <v>2596.76</v>
      </c>
      <c r="H60" s="4" t="n">
        <v>15</v>
      </c>
    </row>
    <row r="61" customFormat="false" ht="15" hidden="false" customHeight="false" outlineLevel="0" collapsed="false">
      <c r="A61" s="4" t="s">
        <v>86</v>
      </c>
      <c r="B61" s="4" t="s">
        <v>31</v>
      </c>
      <c r="C61" s="4" t="s">
        <v>68</v>
      </c>
      <c r="D61" s="4" t="s">
        <v>73</v>
      </c>
      <c r="E61" s="4" t="n">
        <v>201</v>
      </c>
      <c r="F61" s="4" t="n">
        <v>147</v>
      </c>
      <c r="G61" s="5" t="n">
        <v>2734.21</v>
      </c>
      <c r="H61" s="4" t="n">
        <v>30</v>
      </c>
    </row>
    <row r="62" customFormat="false" ht="15" hidden="false" customHeight="false" outlineLevel="0" collapsed="false">
      <c r="A62" s="4" t="s">
        <v>87</v>
      </c>
      <c r="B62" s="4" t="s">
        <v>31</v>
      </c>
      <c r="C62" s="4" t="s">
        <v>68</v>
      </c>
      <c r="D62" s="4" t="s">
        <v>75</v>
      </c>
      <c r="E62" s="4" t="n">
        <v>91</v>
      </c>
      <c r="F62" s="4" t="n">
        <v>30</v>
      </c>
      <c r="G62" s="5" t="n">
        <v>2310.17</v>
      </c>
      <c r="H62" s="4" t="n">
        <v>20</v>
      </c>
    </row>
    <row r="63" customFormat="false" ht="15" hidden="false" customHeight="false" outlineLevel="0" collapsed="false">
      <c r="A63" s="4" t="s">
        <v>88</v>
      </c>
      <c r="B63" s="4" t="s">
        <v>36</v>
      </c>
      <c r="C63" s="4" t="s">
        <v>68</v>
      </c>
      <c r="D63" s="4" t="s">
        <v>69</v>
      </c>
      <c r="E63" s="4" t="n">
        <v>242</v>
      </c>
      <c r="F63" s="4" t="n">
        <v>271</v>
      </c>
      <c r="G63" s="5" t="n">
        <v>1211.96</v>
      </c>
      <c r="H63" s="4" t="n">
        <v>30</v>
      </c>
    </row>
    <row r="64" customFormat="false" ht="15" hidden="false" customHeight="false" outlineLevel="0" collapsed="false">
      <c r="A64" s="4" t="s">
        <v>89</v>
      </c>
      <c r="B64" s="4" t="s">
        <v>36</v>
      </c>
      <c r="C64" s="4" t="s">
        <v>68</v>
      </c>
      <c r="D64" s="4" t="s">
        <v>71</v>
      </c>
      <c r="E64" s="4" t="n">
        <v>245</v>
      </c>
      <c r="F64" s="4" t="n">
        <v>117</v>
      </c>
      <c r="G64" s="5" t="n">
        <v>1162.19</v>
      </c>
      <c r="H64" s="4" t="n">
        <v>30</v>
      </c>
    </row>
    <row r="65" customFormat="false" ht="15" hidden="false" customHeight="false" outlineLevel="0" collapsed="false">
      <c r="A65" s="4" t="s">
        <v>90</v>
      </c>
      <c r="B65" s="4" t="s">
        <v>36</v>
      </c>
      <c r="C65" s="4" t="s">
        <v>68</v>
      </c>
      <c r="D65" s="4" t="s">
        <v>73</v>
      </c>
      <c r="E65" s="4" t="n">
        <v>177</v>
      </c>
      <c r="F65" s="4" t="n">
        <v>203</v>
      </c>
      <c r="G65" s="5" t="n">
        <v>1288.69</v>
      </c>
      <c r="H65" s="4" t="n">
        <v>15</v>
      </c>
    </row>
    <row r="66" customFormat="false" ht="15" hidden="false" customHeight="false" outlineLevel="0" collapsed="false">
      <c r="A66" s="4" t="s">
        <v>91</v>
      </c>
      <c r="B66" s="4" t="s">
        <v>36</v>
      </c>
      <c r="C66" s="4" t="s">
        <v>68</v>
      </c>
      <c r="D66" s="4" t="s">
        <v>75</v>
      </c>
      <c r="E66" s="4" t="n">
        <v>314</v>
      </c>
      <c r="F66" s="4" t="n">
        <v>151</v>
      </c>
      <c r="G66" s="5" t="n">
        <v>1213.25</v>
      </c>
      <c r="H66" s="4" t="n">
        <v>20</v>
      </c>
    </row>
    <row r="67" customFormat="false" ht="15" hidden="false" customHeight="false" outlineLevel="0" collapsed="false">
      <c r="A67" s="4" t="s">
        <v>92</v>
      </c>
      <c r="B67" s="4" t="s">
        <v>41</v>
      </c>
      <c r="C67" s="4" t="s">
        <v>68</v>
      </c>
      <c r="D67" s="4" t="s">
        <v>69</v>
      </c>
      <c r="E67" s="4" t="n">
        <v>53</v>
      </c>
      <c r="F67" s="4" t="n">
        <v>19</v>
      </c>
      <c r="G67" s="5" t="n">
        <v>2879.52</v>
      </c>
      <c r="H67" s="4" t="n">
        <v>0</v>
      </c>
    </row>
    <row r="68" customFormat="false" ht="15" hidden="false" customHeight="false" outlineLevel="0" collapsed="false">
      <c r="A68" s="4" t="s">
        <v>93</v>
      </c>
      <c r="B68" s="4" t="s">
        <v>41</v>
      </c>
      <c r="C68" s="4" t="s">
        <v>68</v>
      </c>
      <c r="D68" s="4" t="s">
        <v>71</v>
      </c>
      <c r="E68" s="4" t="n">
        <v>47</v>
      </c>
      <c r="F68" s="4" t="n">
        <v>19</v>
      </c>
      <c r="G68" s="5" t="n">
        <v>3281.61</v>
      </c>
      <c r="H68" s="4" t="n">
        <v>40</v>
      </c>
    </row>
    <row r="69" customFormat="false" ht="15" hidden="false" customHeight="false" outlineLevel="0" collapsed="false">
      <c r="A69" s="4" t="s">
        <v>94</v>
      </c>
      <c r="B69" s="4" t="s">
        <v>41</v>
      </c>
      <c r="C69" s="4" t="s">
        <v>68</v>
      </c>
      <c r="D69" s="4" t="s">
        <v>73</v>
      </c>
      <c r="E69" s="4" t="n">
        <v>74</v>
      </c>
      <c r="F69" s="4" t="n">
        <v>39</v>
      </c>
      <c r="G69" s="5" t="n">
        <v>2802.01</v>
      </c>
      <c r="H69" s="4" t="n">
        <v>20</v>
      </c>
    </row>
    <row r="70" customFormat="false" ht="15" hidden="false" customHeight="false" outlineLevel="0" collapsed="false">
      <c r="A70" s="4" t="s">
        <v>95</v>
      </c>
      <c r="B70" s="4" t="s">
        <v>41</v>
      </c>
      <c r="C70" s="4" t="s">
        <v>68</v>
      </c>
      <c r="D70" s="4" t="s">
        <v>75</v>
      </c>
      <c r="E70" s="4" t="n">
        <v>97</v>
      </c>
      <c r="F70" s="4" t="n">
        <v>63</v>
      </c>
      <c r="G70" s="5" t="n">
        <v>3064.42</v>
      </c>
      <c r="H70" s="4" t="n">
        <v>40</v>
      </c>
    </row>
    <row r="71" customFormat="false" ht="15" hidden="false" customHeight="false" outlineLevel="0" collapsed="false">
      <c r="A71" s="4" t="s">
        <v>96</v>
      </c>
      <c r="B71" s="4" t="s">
        <v>11</v>
      </c>
      <c r="C71" s="4" t="s">
        <v>97</v>
      </c>
      <c r="D71" s="4" t="s">
        <v>98</v>
      </c>
      <c r="E71" s="4" t="n">
        <v>59</v>
      </c>
      <c r="F71" s="4" t="n">
        <v>40</v>
      </c>
      <c r="G71" s="5" t="n">
        <v>719.2</v>
      </c>
      <c r="H71" s="4" t="n">
        <v>15</v>
      </c>
    </row>
    <row r="72" customFormat="false" ht="15" hidden="false" customHeight="false" outlineLevel="0" collapsed="false">
      <c r="A72" s="4" t="s">
        <v>99</v>
      </c>
      <c r="B72" s="4" t="s">
        <v>21</v>
      </c>
      <c r="C72" s="4" t="s">
        <v>97</v>
      </c>
      <c r="D72" s="4" t="s">
        <v>98</v>
      </c>
      <c r="E72" s="4" t="n">
        <v>62</v>
      </c>
      <c r="F72" s="4" t="n">
        <v>23</v>
      </c>
      <c r="G72" s="5" t="n">
        <v>1684.54</v>
      </c>
      <c r="H72" s="4" t="n">
        <v>15</v>
      </c>
    </row>
    <row r="73" customFormat="false" ht="15" hidden="false" customHeight="false" outlineLevel="0" collapsed="false">
      <c r="A73" s="4" t="s">
        <v>100</v>
      </c>
      <c r="B73" s="4" t="s">
        <v>26</v>
      </c>
      <c r="C73" s="4" t="s">
        <v>97</v>
      </c>
      <c r="D73" s="4" t="s">
        <v>98</v>
      </c>
      <c r="E73" s="4" t="n">
        <v>77</v>
      </c>
      <c r="F73" s="4" t="n">
        <v>24</v>
      </c>
      <c r="G73" s="5" t="n">
        <v>1473.33</v>
      </c>
      <c r="H73" s="4" t="n">
        <v>30</v>
      </c>
    </row>
    <row r="74" customFormat="false" ht="15" hidden="false" customHeight="false" outlineLevel="0" collapsed="false">
      <c r="A74" s="4" t="s">
        <v>101</v>
      </c>
      <c r="B74" s="4" t="s">
        <v>31</v>
      </c>
      <c r="C74" s="4" t="s">
        <v>97</v>
      </c>
      <c r="D74" s="4" t="s">
        <v>98</v>
      </c>
      <c r="E74" s="4" t="n">
        <v>105</v>
      </c>
      <c r="F74" s="4" t="n">
        <v>42</v>
      </c>
      <c r="G74" s="5" t="n">
        <v>2822.96</v>
      </c>
      <c r="H74" s="4" t="n">
        <v>10</v>
      </c>
    </row>
    <row r="75" customFormat="false" ht="15" hidden="false" customHeight="false" outlineLevel="0" collapsed="false">
      <c r="A75" s="4" t="s">
        <v>102</v>
      </c>
      <c r="B75" s="4" t="s">
        <v>36</v>
      </c>
      <c r="C75" s="4" t="s">
        <v>97</v>
      </c>
      <c r="D75" s="4" t="s">
        <v>98</v>
      </c>
      <c r="E75" s="4" t="n">
        <v>56</v>
      </c>
      <c r="F75" s="4" t="n">
        <v>30</v>
      </c>
      <c r="G75" s="5" t="n">
        <v>1090.97</v>
      </c>
      <c r="H75" s="4" t="n">
        <v>10</v>
      </c>
    </row>
    <row r="76" customFormat="false" ht="15" hidden="false" customHeight="false" outlineLevel="0" collapsed="false">
      <c r="A76" s="4" t="s">
        <v>103</v>
      </c>
      <c r="B76" s="4" t="s">
        <v>41</v>
      </c>
      <c r="C76" s="4" t="s">
        <v>97</v>
      </c>
      <c r="D76" s="4" t="s">
        <v>98</v>
      </c>
      <c r="E76" s="4" t="n">
        <v>36</v>
      </c>
      <c r="F76" s="4" t="n">
        <v>24</v>
      </c>
      <c r="G76" s="5" t="n">
        <v>3382.43</v>
      </c>
      <c r="H76" s="4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106</v>
      </c>
      <c r="D4" s="3" t="s">
        <v>107</v>
      </c>
      <c r="E4" s="3" t="s">
        <v>108</v>
      </c>
      <c r="F4" s="3" t="s">
        <v>109</v>
      </c>
      <c r="G4" s="3" t="s">
        <v>110</v>
      </c>
    </row>
    <row r="5" customFormat="false" ht="15" hidden="false" customHeight="false" outlineLevel="0" collapsed="false">
      <c r="A5" s="4" t="s">
        <v>26</v>
      </c>
      <c r="B5" s="4" t="s">
        <v>12</v>
      </c>
      <c r="C5" s="4" t="n">
        <f aca="false">SUMIFS(Raw_Inventory!E5:E76,Raw_Inventory!B5:B76,A5,Raw_Inventory!C5:C76,B5)</f>
        <v>630</v>
      </c>
      <c r="D5" s="6" t="n">
        <f aca="false">IFERROR(AVERAGEIFS(Raw_Inventory!F5:F76,Raw_Inventory!B5:B76,A5,Raw_Inventory!C5:C76,B5),0)</f>
        <v>147.75</v>
      </c>
      <c r="E5" s="5" t="n">
        <f aca="false">IFERROR(AVERAGEIFS(Raw_Inventory!G5:G76,Raw_Inventory!B5:B76,A5,Raw_Inventory!C5:C76,B5),0)</f>
        <v>1440.4425</v>
      </c>
      <c r="F5" s="7" t="n">
        <f aca="false">IFERROR(AVERAGEIFS(Raw_Inventory!H5:H76,Raw_Inventory!B5:B76,A5,Raw_Inventory!C5:C76,B5),0)</f>
        <v>12.5</v>
      </c>
      <c r="G5" s="8" t="n">
        <f aca="false">IFERROR(D5/(C5/4),0)</f>
        <v>0.938095238095238</v>
      </c>
    </row>
    <row r="6" customFormat="false" ht="15" hidden="false" customHeight="false" outlineLevel="0" collapsed="false">
      <c r="A6" s="4" t="s">
        <v>26</v>
      </c>
      <c r="B6" s="4" t="s">
        <v>46</v>
      </c>
      <c r="C6" s="4" t="n">
        <f aca="false">SUMIFS(Raw_Inventory!E5:E76,Raw_Inventory!B5:B76,A6,Raw_Inventory!C5:C76,B6)</f>
        <v>347</v>
      </c>
      <c r="D6" s="6" t="n">
        <f aca="false">IFERROR(AVERAGEIFS(Raw_Inventory!F5:F76,Raw_Inventory!B5:B76,A6,Raw_Inventory!C5:C76,B6),0)</f>
        <v>84.3333333333333</v>
      </c>
      <c r="E6" s="5" t="n">
        <f aca="false">IFERROR(AVERAGEIFS(Raw_Inventory!G5:G76,Raw_Inventory!B5:B76,A6,Raw_Inventory!C5:C76,B6),0)</f>
        <v>1460.69</v>
      </c>
      <c r="F6" s="7" t="n">
        <f aca="false">IFERROR(AVERAGEIFS(Raw_Inventory!H5:H76,Raw_Inventory!B5:B76,A6,Raw_Inventory!C5:C76,B6),0)</f>
        <v>16.6666666666667</v>
      </c>
      <c r="G6" s="8" t="n">
        <f aca="false">IFERROR(D6/(C6/4),0)</f>
        <v>0.972142170989433</v>
      </c>
    </row>
    <row r="7" customFormat="false" ht="15" hidden="false" customHeight="false" outlineLevel="0" collapsed="false">
      <c r="A7" s="4" t="s">
        <v>26</v>
      </c>
      <c r="B7" s="4" t="s">
        <v>68</v>
      </c>
      <c r="C7" s="4" t="n">
        <f aca="false">SUMIFS(Raw_Inventory!E5:E76,Raw_Inventory!B5:B76,A7,Raw_Inventory!C5:C76,B7)</f>
        <v>338</v>
      </c>
      <c r="D7" s="6" t="n">
        <f aca="false">IFERROR(AVERAGEIFS(Raw_Inventory!F5:F76,Raw_Inventory!B5:B76,A7,Raw_Inventory!C5:C76,B7),0)</f>
        <v>59.5</v>
      </c>
      <c r="E7" s="5" t="n">
        <f aca="false">IFERROR(AVERAGEIFS(Raw_Inventory!G5:G76,Raw_Inventory!B5:B76,A7,Raw_Inventory!C5:C76,B7),0)</f>
        <v>1559.1775</v>
      </c>
      <c r="F7" s="7" t="n">
        <f aca="false">IFERROR(AVERAGEIFS(Raw_Inventory!H5:H76,Raw_Inventory!B5:B76,A7,Raw_Inventory!C5:C76,B7),0)</f>
        <v>17.5</v>
      </c>
      <c r="G7" s="8" t="n">
        <f aca="false">IFERROR(D7/(C7/4),0)</f>
        <v>0.70414201183432</v>
      </c>
    </row>
    <row r="8" customFormat="false" ht="15" hidden="false" customHeight="false" outlineLevel="0" collapsed="false">
      <c r="A8" s="4" t="s">
        <v>26</v>
      </c>
      <c r="B8" s="4" t="s">
        <v>97</v>
      </c>
      <c r="C8" s="4" t="n">
        <f aca="false">SUMIFS(Raw_Inventory!E5:E76,Raw_Inventory!B5:B76,A8,Raw_Inventory!C5:C76,B8)</f>
        <v>77</v>
      </c>
      <c r="D8" s="6" t="n">
        <f aca="false">IFERROR(AVERAGEIFS(Raw_Inventory!F5:F76,Raw_Inventory!B5:B76,A8,Raw_Inventory!C5:C76,B8),0)</f>
        <v>24</v>
      </c>
      <c r="E8" s="5" t="n">
        <f aca="false">IFERROR(AVERAGEIFS(Raw_Inventory!G5:G76,Raw_Inventory!B5:B76,A8,Raw_Inventory!C5:C76,B8),0)</f>
        <v>1473.33</v>
      </c>
      <c r="F8" s="7" t="n">
        <f aca="false">IFERROR(AVERAGEIFS(Raw_Inventory!H5:H76,Raw_Inventory!B5:B76,A8,Raw_Inventory!C5:C76,B8),0)</f>
        <v>30</v>
      </c>
      <c r="G8" s="8" t="n">
        <f aca="false">IFERROR(D8/(C8/4),0)</f>
        <v>1.24675324675325</v>
      </c>
    </row>
    <row r="9" customFormat="false" ht="15" hidden="false" customHeight="false" outlineLevel="0" collapsed="false">
      <c r="A9" s="4" t="s">
        <v>31</v>
      </c>
      <c r="B9" s="4" t="s">
        <v>12</v>
      </c>
      <c r="C9" s="4" t="n">
        <f aca="false">SUMIFS(Raw_Inventory!E5:E76,Raw_Inventory!B5:B76,A9,Raw_Inventory!C5:C76,B9)</f>
        <v>399</v>
      </c>
      <c r="D9" s="6" t="n">
        <f aca="false">IFERROR(AVERAGEIFS(Raw_Inventory!F5:F76,Raw_Inventory!B5:B76,A9,Raw_Inventory!C5:C76,B9),0)</f>
        <v>63.75</v>
      </c>
      <c r="E9" s="5" t="n">
        <f aca="false">IFERROR(AVERAGEIFS(Raw_Inventory!G5:G76,Raw_Inventory!B5:B76,A9,Raw_Inventory!C5:C76,B9),0)</f>
        <v>2670.8625</v>
      </c>
      <c r="F9" s="7" t="n">
        <f aca="false">IFERROR(AVERAGEIFS(Raw_Inventory!H5:H76,Raw_Inventory!B5:B76,A9,Raw_Inventory!C5:C76,B9),0)</f>
        <v>8.75</v>
      </c>
      <c r="G9" s="8" t="n">
        <f aca="false">IFERROR(D9/(C9/4),0)</f>
        <v>0.639097744360902</v>
      </c>
    </row>
    <row r="10" customFormat="false" ht="15" hidden="false" customHeight="false" outlineLevel="0" collapsed="false">
      <c r="A10" s="4" t="s">
        <v>31</v>
      </c>
      <c r="B10" s="4" t="s">
        <v>46</v>
      </c>
      <c r="C10" s="4" t="n">
        <f aca="false">SUMIFS(Raw_Inventory!E5:E76,Raw_Inventory!B5:B76,A10,Raw_Inventory!C5:C76,B10)</f>
        <v>281</v>
      </c>
      <c r="D10" s="6" t="n">
        <f aca="false">IFERROR(AVERAGEIFS(Raw_Inventory!F5:F76,Raw_Inventory!B5:B76,A10,Raw_Inventory!C5:C76,B10),0)</f>
        <v>59.3333333333333</v>
      </c>
      <c r="E10" s="5" t="n">
        <f aca="false">IFERROR(AVERAGEIFS(Raw_Inventory!G5:G76,Raw_Inventory!B5:B76,A10,Raw_Inventory!C5:C76,B10),0)</f>
        <v>2448.30333333333</v>
      </c>
      <c r="F10" s="7" t="n">
        <f aca="false">IFERROR(AVERAGEIFS(Raw_Inventory!H5:H76,Raw_Inventory!B5:B76,A10,Raw_Inventory!C5:C76,B10),0)</f>
        <v>13.3333333333333</v>
      </c>
      <c r="G10" s="8" t="n">
        <f aca="false">IFERROR(D10/(C10/4),0)</f>
        <v>0.844602609727165</v>
      </c>
    </row>
    <row r="11" customFormat="false" ht="15" hidden="false" customHeight="false" outlineLevel="0" collapsed="false">
      <c r="A11" s="4" t="s">
        <v>31</v>
      </c>
      <c r="B11" s="4" t="s">
        <v>68</v>
      </c>
      <c r="C11" s="4" t="n">
        <f aca="false">SUMIFS(Raw_Inventory!E5:E76,Raw_Inventory!B5:B76,A11,Raw_Inventory!C5:C76,B11)</f>
        <v>701</v>
      </c>
      <c r="D11" s="6" t="n">
        <f aca="false">IFERROR(AVERAGEIFS(Raw_Inventory!F5:F76,Raw_Inventory!B5:B76,A11,Raw_Inventory!C5:C76,B11),0)</f>
        <v>144.25</v>
      </c>
      <c r="E11" s="5" t="n">
        <f aca="false">IFERROR(AVERAGEIFS(Raw_Inventory!G5:G76,Raw_Inventory!B5:B76,A11,Raw_Inventory!C5:C76,B11),0)</f>
        <v>2567.6075</v>
      </c>
      <c r="F11" s="7" t="n">
        <f aca="false">IFERROR(AVERAGEIFS(Raw_Inventory!H5:H76,Raw_Inventory!B5:B76,A11,Raw_Inventory!C5:C76,B11),0)</f>
        <v>18.75</v>
      </c>
      <c r="G11" s="8" t="n">
        <f aca="false">IFERROR(D11/(C11/4),0)</f>
        <v>0.823109843081312</v>
      </c>
    </row>
    <row r="12" customFormat="false" ht="15" hidden="false" customHeight="false" outlineLevel="0" collapsed="false">
      <c r="A12" s="4" t="s">
        <v>31</v>
      </c>
      <c r="B12" s="4" t="s">
        <v>97</v>
      </c>
      <c r="C12" s="4" t="n">
        <f aca="false">SUMIFS(Raw_Inventory!E5:E76,Raw_Inventory!B5:B76,A12,Raw_Inventory!C5:C76,B12)</f>
        <v>105</v>
      </c>
      <c r="D12" s="6" t="n">
        <f aca="false">IFERROR(AVERAGEIFS(Raw_Inventory!F5:F76,Raw_Inventory!B5:B76,A12,Raw_Inventory!C5:C76,B12),0)</f>
        <v>42</v>
      </c>
      <c r="E12" s="5" t="n">
        <f aca="false">IFERROR(AVERAGEIFS(Raw_Inventory!G5:G76,Raw_Inventory!B5:B76,A12,Raw_Inventory!C5:C76,B12),0)</f>
        <v>2822.96</v>
      </c>
      <c r="F12" s="7" t="n">
        <f aca="false">IFERROR(AVERAGEIFS(Raw_Inventory!H5:H76,Raw_Inventory!B5:B76,A12,Raw_Inventory!C5:C76,B12),0)</f>
        <v>10</v>
      </c>
      <c r="G12" s="8" t="n">
        <f aca="false">IFERROR(D12/(C12/4),0)</f>
        <v>1.6</v>
      </c>
    </row>
    <row r="13" customFormat="false" ht="15" hidden="false" customHeight="false" outlineLevel="0" collapsed="false">
      <c r="A13" s="4" t="s">
        <v>21</v>
      </c>
      <c r="B13" s="4" t="s">
        <v>12</v>
      </c>
      <c r="C13" s="4" t="n">
        <f aca="false">SUMIFS(Raw_Inventory!E5:E76,Raw_Inventory!B5:B76,A13,Raw_Inventory!C5:C76,B13)</f>
        <v>242</v>
      </c>
      <c r="D13" s="6" t="n">
        <f aca="false">IFERROR(AVERAGEIFS(Raw_Inventory!F5:F76,Raw_Inventory!B5:B76,A13,Raw_Inventory!C5:C76,B13),0)</f>
        <v>43.75</v>
      </c>
      <c r="E13" s="5" t="n">
        <f aca="false">IFERROR(AVERAGEIFS(Raw_Inventory!G5:G76,Raw_Inventory!B5:B76,A13,Raw_Inventory!C5:C76,B13),0)</f>
        <v>1713.225</v>
      </c>
      <c r="F13" s="7" t="n">
        <f aca="false">IFERROR(AVERAGEIFS(Raw_Inventory!H5:H76,Raw_Inventory!B5:B76,A13,Raw_Inventory!C5:C76,B13),0)</f>
        <v>27.5</v>
      </c>
      <c r="G13" s="8" t="n">
        <f aca="false">IFERROR(D13/(C13/4),0)</f>
        <v>0.723140495867769</v>
      </c>
    </row>
    <row r="14" customFormat="false" ht="15" hidden="false" customHeight="false" outlineLevel="0" collapsed="false">
      <c r="A14" s="4" t="s">
        <v>21</v>
      </c>
      <c r="B14" s="4" t="s">
        <v>46</v>
      </c>
      <c r="C14" s="4" t="n">
        <f aca="false">SUMIFS(Raw_Inventory!E5:E76,Raw_Inventory!B5:B76,A14,Raw_Inventory!C5:C76,B14)</f>
        <v>169</v>
      </c>
      <c r="D14" s="6" t="n">
        <f aca="false">IFERROR(AVERAGEIFS(Raw_Inventory!F5:F76,Raw_Inventory!B5:B76,A14,Raw_Inventory!C5:C76,B14),0)</f>
        <v>41.3333333333333</v>
      </c>
      <c r="E14" s="5" t="n">
        <f aca="false">IFERROR(AVERAGEIFS(Raw_Inventory!G5:G76,Raw_Inventory!B5:B76,A14,Raw_Inventory!C5:C76,B14),0)</f>
        <v>1732.63666666667</v>
      </c>
      <c r="F14" s="7" t="n">
        <f aca="false">IFERROR(AVERAGEIFS(Raw_Inventory!H5:H76,Raw_Inventory!B5:B76,A14,Raw_Inventory!C5:C76,B14),0)</f>
        <v>15</v>
      </c>
      <c r="G14" s="8" t="n">
        <f aca="false">IFERROR(D14/(C14/4),0)</f>
        <v>0.978303747534517</v>
      </c>
    </row>
    <row r="15" customFormat="false" ht="15" hidden="false" customHeight="false" outlineLevel="0" collapsed="false">
      <c r="A15" s="4" t="s">
        <v>21</v>
      </c>
      <c r="B15" s="4" t="s">
        <v>68</v>
      </c>
      <c r="C15" s="4" t="n">
        <f aca="false">SUMIFS(Raw_Inventory!E5:E76,Raw_Inventory!B5:B76,A15,Raw_Inventory!C5:C76,B15)</f>
        <v>281</v>
      </c>
      <c r="D15" s="6" t="n">
        <f aca="false">IFERROR(AVERAGEIFS(Raw_Inventory!F5:F76,Raw_Inventory!B5:B76,A15,Raw_Inventory!C5:C76,B15),0)</f>
        <v>64</v>
      </c>
      <c r="E15" s="5" t="n">
        <f aca="false">IFERROR(AVERAGEIFS(Raw_Inventory!G5:G76,Raw_Inventory!B5:B76,A15,Raw_Inventory!C5:C76,B15),0)</f>
        <v>1779.255</v>
      </c>
      <c r="F15" s="7" t="n">
        <f aca="false">IFERROR(AVERAGEIFS(Raw_Inventory!H5:H76,Raw_Inventory!B5:B76,A15,Raw_Inventory!C5:C76,B15),0)</f>
        <v>26.25</v>
      </c>
      <c r="G15" s="8" t="n">
        <f aca="false">IFERROR(D15/(C15/4),0)</f>
        <v>0.911032028469751</v>
      </c>
    </row>
    <row r="16" customFormat="false" ht="15" hidden="false" customHeight="false" outlineLevel="0" collapsed="false">
      <c r="A16" s="4" t="s">
        <v>21</v>
      </c>
      <c r="B16" s="4" t="s">
        <v>97</v>
      </c>
      <c r="C16" s="4" t="n">
        <f aca="false">SUMIFS(Raw_Inventory!E5:E76,Raw_Inventory!B5:B76,A16,Raw_Inventory!C5:C76,B16)</f>
        <v>62</v>
      </c>
      <c r="D16" s="6" t="n">
        <f aca="false">IFERROR(AVERAGEIFS(Raw_Inventory!F5:F76,Raw_Inventory!B5:B76,A16,Raw_Inventory!C5:C76,B16),0)</f>
        <v>23</v>
      </c>
      <c r="E16" s="5" t="n">
        <f aca="false">IFERROR(AVERAGEIFS(Raw_Inventory!G5:G76,Raw_Inventory!B5:B76,A16,Raw_Inventory!C5:C76,B16),0)</f>
        <v>1684.54</v>
      </c>
      <c r="F16" s="7" t="n">
        <f aca="false">IFERROR(AVERAGEIFS(Raw_Inventory!H5:H76,Raw_Inventory!B5:B76,A16,Raw_Inventory!C5:C76,B16),0)</f>
        <v>15</v>
      </c>
      <c r="G16" s="8" t="n">
        <f aca="false">IFERROR(D16/(C16/4),0)</f>
        <v>1.48387096774194</v>
      </c>
    </row>
    <row r="17" customFormat="false" ht="15" hidden="false" customHeight="false" outlineLevel="0" collapsed="false">
      <c r="A17" s="4" t="s">
        <v>36</v>
      </c>
      <c r="B17" s="4" t="s">
        <v>12</v>
      </c>
      <c r="C17" s="4" t="n">
        <f aca="false">SUMIFS(Raw_Inventory!E5:E76,Raw_Inventory!B5:B76,A17,Raw_Inventory!C5:C76,B17)</f>
        <v>229</v>
      </c>
      <c r="D17" s="6" t="n">
        <f aca="false">IFERROR(AVERAGEIFS(Raw_Inventory!F5:F76,Raw_Inventory!B5:B76,A17,Raw_Inventory!C5:C76,B17),0)</f>
        <v>41</v>
      </c>
      <c r="E17" s="5" t="n">
        <f aca="false">IFERROR(AVERAGEIFS(Raw_Inventory!G5:G76,Raw_Inventory!B5:B76,A17,Raw_Inventory!C5:C76,B17),0)</f>
        <v>1172.705</v>
      </c>
      <c r="F17" s="7" t="n">
        <f aca="false">IFERROR(AVERAGEIFS(Raw_Inventory!H5:H76,Raw_Inventory!B5:B76,A17,Raw_Inventory!C5:C76,B17),0)</f>
        <v>13.75</v>
      </c>
      <c r="G17" s="8" t="n">
        <f aca="false">IFERROR(D17/(C17/4),0)</f>
        <v>0.716157205240175</v>
      </c>
    </row>
    <row r="18" customFormat="false" ht="15" hidden="false" customHeight="false" outlineLevel="0" collapsed="false">
      <c r="A18" s="4" t="s">
        <v>36</v>
      </c>
      <c r="B18" s="4" t="s">
        <v>46</v>
      </c>
      <c r="C18" s="4" t="n">
        <f aca="false">SUMIFS(Raw_Inventory!E5:E76,Raw_Inventory!B5:B76,A18,Raw_Inventory!C5:C76,B18)</f>
        <v>345</v>
      </c>
      <c r="D18" s="6" t="n">
        <f aca="false">IFERROR(AVERAGEIFS(Raw_Inventory!F5:F76,Raw_Inventory!B5:B76,A18,Raw_Inventory!C5:C76,B18),0)</f>
        <v>105</v>
      </c>
      <c r="E18" s="5" t="n">
        <f aca="false">IFERROR(AVERAGEIFS(Raw_Inventory!G5:G76,Raw_Inventory!B5:B76,A18,Raw_Inventory!C5:C76,B18),0)</f>
        <v>1202.99</v>
      </c>
      <c r="F18" s="7" t="n">
        <f aca="false">IFERROR(AVERAGEIFS(Raw_Inventory!H5:H76,Raw_Inventory!B5:B76,A18,Raw_Inventory!C5:C76,B18),0)</f>
        <v>20</v>
      </c>
      <c r="G18" s="8" t="n">
        <f aca="false">IFERROR(D18/(C18/4),0)</f>
        <v>1.21739130434783</v>
      </c>
    </row>
    <row r="19" customFormat="false" ht="15" hidden="false" customHeight="false" outlineLevel="0" collapsed="false">
      <c r="A19" s="4" t="s">
        <v>36</v>
      </c>
      <c r="B19" s="4" t="s">
        <v>68</v>
      </c>
      <c r="C19" s="4" t="n">
        <f aca="false">SUMIFS(Raw_Inventory!E5:E76,Raw_Inventory!B5:B76,A19,Raw_Inventory!C5:C76,B19)</f>
        <v>978</v>
      </c>
      <c r="D19" s="6" t="n">
        <f aca="false">IFERROR(AVERAGEIFS(Raw_Inventory!F5:F76,Raw_Inventory!B5:B76,A19,Raw_Inventory!C5:C76,B19),0)</f>
        <v>185.5</v>
      </c>
      <c r="E19" s="5" t="n">
        <f aca="false">IFERROR(AVERAGEIFS(Raw_Inventory!G5:G76,Raw_Inventory!B5:B76,A19,Raw_Inventory!C5:C76,B19),0)</f>
        <v>1219.0225</v>
      </c>
      <c r="F19" s="7" t="n">
        <f aca="false">IFERROR(AVERAGEIFS(Raw_Inventory!H5:H76,Raw_Inventory!B5:B76,A19,Raw_Inventory!C5:C76,B19),0)</f>
        <v>23.75</v>
      </c>
      <c r="G19" s="8" t="n">
        <f aca="false">IFERROR(D19/(C19/4),0)</f>
        <v>0.758691206543967</v>
      </c>
    </row>
    <row r="20" customFormat="false" ht="15" hidden="false" customHeight="false" outlineLevel="0" collapsed="false">
      <c r="A20" s="4" t="s">
        <v>36</v>
      </c>
      <c r="B20" s="4" t="s">
        <v>97</v>
      </c>
      <c r="C20" s="4" t="n">
        <f aca="false">SUMIFS(Raw_Inventory!E5:E76,Raw_Inventory!B5:B76,A20,Raw_Inventory!C5:C76,B20)</f>
        <v>56</v>
      </c>
      <c r="D20" s="6" t="n">
        <f aca="false">IFERROR(AVERAGEIFS(Raw_Inventory!F5:F76,Raw_Inventory!B5:B76,A20,Raw_Inventory!C5:C76,B20),0)</f>
        <v>30</v>
      </c>
      <c r="E20" s="5" t="n">
        <f aca="false">IFERROR(AVERAGEIFS(Raw_Inventory!G5:G76,Raw_Inventory!B5:B76,A20,Raw_Inventory!C5:C76,B20),0)</f>
        <v>1090.97</v>
      </c>
      <c r="F20" s="7" t="n">
        <f aca="false">IFERROR(AVERAGEIFS(Raw_Inventory!H5:H76,Raw_Inventory!B5:B76,A20,Raw_Inventory!C5:C76,B20),0)</f>
        <v>10</v>
      </c>
      <c r="G20" s="8" t="n">
        <f aca="false">IFERROR(D20/(C20/4),0)</f>
        <v>2.14285714285714</v>
      </c>
    </row>
    <row r="21" customFormat="false" ht="15" hidden="false" customHeight="false" outlineLevel="0" collapsed="false">
      <c r="A21" s="4" t="s">
        <v>41</v>
      </c>
      <c r="B21" s="4" t="s">
        <v>12</v>
      </c>
      <c r="C21" s="4" t="n">
        <f aca="false">SUMIFS(Raw_Inventory!E5:E76,Raw_Inventory!B5:B76,A21,Raw_Inventory!C5:C76,B21)</f>
        <v>269</v>
      </c>
      <c r="D21" s="6" t="n">
        <f aca="false">IFERROR(AVERAGEIFS(Raw_Inventory!F5:F76,Raw_Inventory!B5:B76,A21,Raw_Inventory!C5:C76,B21),0)</f>
        <v>40</v>
      </c>
      <c r="E21" s="5" t="n">
        <f aca="false">IFERROR(AVERAGEIFS(Raw_Inventory!G5:G76,Raw_Inventory!B5:B76,A21,Raw_Inventory!C5:C76,B21),0)</f>
        <v>3041.3175</v>
      </c>
      <c r="F21" s="7" t="n">
        <f aca="false">IFERROR(AVERAGEIFS(Raw_Inventory!H5:H76,Raw_Inventory!B5:B76,A21,Raw_Inventory!C5:C76,B21),0)</f>
        <v>20</v>
      </c>
      <c r="G21" s="8" t="n">
        <f aca="false">IFERROR(D21/(C21/4),0)</f>
        <v>0.594795539033457</v>
      </c>
    </row>
    <row r="22" customFormat="false" ht="15" hidden="false" customHeight="false" outlineLevel="0" collapsed="false">
      <c r="A22" s="4" t="s">
        <v>41</v>
      </c>
      <c r="B22" s="4" t="s">
        <v>46</v>
      </c>
      <c r="C22" s="4" t="n">
        <f aca="false">SUMIFS(Raw_Inventory!E5:E76,Raw_Inventory!B5:B76,A22,Raw_Inventory!C5:C76,B22)</f>
        <v>678</v>
      </c>
      <c r="D22" s="6" t="n">
        <f aca="false">IFERROR(AVERAGEIFS(Raw_Inventory!F5:F76,Raw_Inventory!B5:B76,A22,Raw_Inventory!C5:C76,B22),0)</f>
        <v>181.666666666667</v>
      </c>
      <c r="E22" s="5" t="n">
        <f aca="false">IFERROR(AVERAGEIFS(Raw_Inventory!G5:G76,Raw_Inventory!B5:B76,A22,Raw_Inventory!C5:C76,B22),0)</f>
        <v>3112.19666666667</v>
      </c>
      <c r="F22" s="7" t="n">
        <f aca="false">IFERROR(AVERAGEIFS(Raw_Inventory!H5:H76,Raw_Inventory!B5:B76,A22,Raw_Inventory!C5:C76,B22),0)</f>
        <v>26.6666666666667</v>
      </c>
      <c r="G22" s="8" t="n">
        <f aca="false">IFERROR(D22/(C22/4),0)</f>
        <v>1.07177974434612</v>
      </c>
    </row>
    <row r="23" customFormat="false" ht="15" hidden="false" customHeight="false" outlineLevel="0" collapsed="false">
      <c r="A23" s="4" t="s">
        <v>41</v>
      </c>
      <c r="B23" s="4" t="s">
        <v>68</v>
      </c>
      <c r="C23" s="4" t="n">
        <f aca="false">SUMIFS(Raw_Inventory!E5:E76,Raw_Inventory!B5:B76,A23,Raw_Inventory!C5:C76,B23)</f>
        <v>271</v>
      </c>
      <c r="D23" s="6" t="n">
        <f aca="false">IFERROR(AVERAGEIFS(Raw_Inventory!F5:F76,Raw_Inventory!B5:B76,A23,Raw_Inventory!C5:C76,B23),0)</f>
        <v>35</v>
      </c>
      <c r="E23" s="5" t="n">
        <f aca="false">IFERROR(AVERAGEIFS(Raw_Inventory!G5:G76,Raw_Inventory!B5:B76,A23,Raw_Inventory!C5:C76,B23),0)</f>
        <v>3006.89</v>
      </c>
      <c r="F23" s="7" t="n">
        <f aca="false">IFERROR(AVERAGEIFS(Raw_Inventory!H5:H76,Raw_Inventory!B5:B76,A23,Raw_Inventory!C5:C76,B23),0)</f>
        <v>25</v>
      </c>
      <c r="G23" s="8" t="n">
        <f aca="false">IFERROR(D23/(C23/4),0)</f>
        <v>0.516605166051661</v>
      </c>
    </row>
    <row r="24" customFormat="false" ht="15" hidden="false" customHeight="false" outlineLevel="0" collapsed="false">
      <c r="A24" s="4" t="s">
        <v>41</v>
      </c>
      <c r="B24" s="4" t="s">
        <v>97</v>
      </c>
      <c r="C24" s="4" t="n">
        <f aca="false">SUMIFS(Raw_Inventory!E5:E76,Raw_Inventory!B5:B76,A24,Raw_Inventory!C5:C76,B24)</f>
        <v>36</v>
      </c>
      <c r="D24" s="6" t="n">
        <f aca="false">IFERROR(AVERAGEIFS(Raw_Inventory!F5:F76,Raw_Inventory!B5:B76,A24,Raw_Inventory!C5:C76,B24),0)</f>
        <v>24</v>
      </c>
      <c r="E24" s="5" t="n">
        <f aca="false">IFERROR(AVERAGEIFS(Raw_Inventory!G5:G76,Raw_Inventory!B5:B76,A24,Raw_Inventory!C5:C76,B24),0)</f>
        <v>3382.43</v>
      </c>
      <c r="F24" s="7" t="n">
        <f aca="false">IFERROR(AVERAGEIFS(Raw_Inventory!H5:H76,Raw_Inventory!B5:B76,A24,Raw_Inventory!C5:C76,B24),0)</f>
        <v>15</v>
      </c>
      <c r="G24" s="8" t="n">
        <f aca="false">IFERROR(D24/(C24/4),0)</f>
        <v>2.66666666666667</v>
      </c>
    </row>
    <row r="25" customFormat="false" ht="15" hidden="false" customHeight="false" outlineLevel="0" collapsed="false">
      <c r="A25" s="4" t="s">
        <v>11</v>
      </c>
      <c r="B25" s="4" t="s">
        <v>12</v>
      </c>
      <c r="C25" s="4" t="n">
        <f aca="false">SUMIFS(Raw_Inventory!E5:E76,Raw_Inventory!B5:B76,A25,Raw_Inventory!C5:C76,B25)</f>
        <v>442</v>
      </c>
      <c r="D25" s="6" t="n">
        <f aca="false">IFERROR(AVERAGEIFS(Raw_Inventory!F5:F76,Raw_Inventory!B5:B76,A25,Raw_Inventory!C5:C76,B25),0)</f>
        <v>96</v>
      </c>
      <c r="E25" s="5" t="n">
        <f aca="false">IFERROR(AVERAGEIFS(Raw_Inventory!G5:G76,Raw_Inventory!B5:B76,A25,Raw_Inventory!C5:C76,B25),0)</f>
        <v>701.5925</v>
      </c>
      <c r="F25" s="7" t="n">
        <f aca="false">IFERROR(AVERAGEIFS(Raw_Inventory!H5:H76,Raw_Inventory!B5:B76,A25,Raw_Inventory!C5:C76,B25),0)</f>
        <v>22.5</v>
      </c>
      <c r="G25" s="8" t="n">
        <f aca="false">IFERROR(D25/(C25/4),0)</f>
        <v>0.868778280542986</v>
      </c>
    </row>
    <row r="26" customFormat="false" ht="15" hidden="false" customHeight="false" outlineLevel="0" collapsed="false">
      <c r="A26" s="4" t="s">
        <v>11</v>
      </c>
      <c r="B26" s="4" t="s">
        <v>46</v>
      </c>
      <c r="C26" s="4" t="n">
        <f aca="false">SUMIFS(Raw_Inventory!E5:E76,Raw_Inventory!B5:B76,A26,Raw_Inventory!C5:C76,B26)</f>
        <v>358</v>
      </c>
      <c r="D26" s="6" t="n">
        <f aca="false">IFERROR(AVERAGEIFS(Raw_Inventory!F5:F76,Raw_Inventory!B5:B76,A26,Raw_Inventory!C5:C76,B26),0)</f>
        <v>111.333333333333</v>
      </c>
      <c r="E26" s="5" t="n">
        <f aca="false">IFERROR(AVERAGEIFS(Raw_Inventory!G5:G76,Raw_Inventory!B5:B76,A26,Raw_Inventory!C5:C76,B26),0)</f>
        <v>741.996666666667</v>
      </c>
      <c r="F26" s="7" t="n">
        <f aca="false">IFERROR(AVERAGEIFS(Raw_Inventory!H5:H76,Raw_Inventory!B5:B76,A26,Raw_Inventory!C5:C76,B26),0)</f>
        <v>16.6666666666667</v>
      </c>
      <c r="G26" s="8" t="n">
        <f aca="false">IFERROR(D26/(C26/4),0)</f>
        <v>1.243947858473</v>
      </c>
    </row>
    <row r="27" customFormat="false" ht="15" hidden="false" customHeight="false" outlineLevel="0" collapsed="false">
      <c r="A27" s="4" t="s">
        <v>11</v>
      </c>
      <c r="B27" s="4" t="s">
        <v>68</v>
      </c>
      <c r="C27" s="4" t="n">
        <f aca="false">SUMIFS(Raw_Inventory!E5:E76,Raw_Inventory!B5:B76,A27,Raw_Inventory!C5:C76,B27)</f>
        <v>264</v>
      </c>
      <c r="D27" s="6" t="n">
        <f aca="false">IFERROR(AVERAGEIFS(Raw_Inventory!F5:F76,Raw_Inventory!B5:B76,A27,Raw_Inventory!C5:C76,B27),0)</f>
        <v>60.75</v>
      </c>
      <c r="E27" s="5" t="n">
        <f aca="false">IFERROR(AVERAGEIFS(Raw_Inventory!G5:G76,Raw_Inventory!B5:B76,A27,Raw_Inventory!C5:C76,B27),0)</f>
        <v>741.31</v>
      </c>
      <c r="F27" s="7" t="n">
        <f aca="false">IFERROR(AVERAGEIFS(Raw_Inventory!H5:H76,Raw_Inventory!B5:B76,A27,Raw_Inventory!C5:C76,B27),0)</f>
        <v>15</v>
      </c>
      <c r="G27" s="8" t="n">
        <f aca="false">IFERROR(D27/(C27/4),0)</f>
        <v>0.920454545454545</v>
      </c>
    </row>
    <row r="28" customFormat="false" ht="15" hidden="false" customHeight="false" outlineLevel="0" collapsed="false">
      <c r="A28" s="4" t="s">
        <v>11</v>
      </c>
      <c r="B28" s="4" t="s">
        <v>97</v>
      </c>
      <c r="C28" s="4" t="n">
        <f aca="false">SUMIFS(Raw_Inventory!E5:E76,Raw_Inventory!B5:B76,A28,Raw_Inventory!C5:C76,B28)</f>
        <v>59</v>
      </c>
      <c r="D28" s="6" t="n">
        <f aca="false">IFERROR(AVERAGEIFS(Raw_Inventory!F5:F76,Raw_Inventory!B5:B76,A28,Raw_Inventory!C5:C76,B28),0)</f>
        <v>40</v>
      </c>
      <c r="E28" s="5" t="n">
        <f aca="false">IFERROR(AVERAGEIFS(Raw_Inventory!G5:G76,Raw_Inventory!B5:B76,A28,Raw_Inventory!C5:C76,B28),0)</f>
        <v>719.2</v>
      </c>
      <c r="F28" s="7" t="n">
        <f aca="false">IFERROR(AVERAGEIFS(Raw_Inventory!H5:H76,Raw_Inventory!B5:B76,A28,Raw_Inventory!C5:C76,B28),0)</f>
        <v>15</v>
      </c>
      <c r="G28" s="8" t="n">
        <f aca="false">IFERROR(D28/(C28/4),0)</f>
        <v>2.71186440677966</v>
      </c>
    </row>
    <row r="30" customFormat="false" ht="15" hidden="false" customHeight="false" outlineLevel="0" collapsed="false">
      <c r="A30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15" hidden="false" customHeight="false" outlineLevel="0" collapsed="false">
      <c r="A4" s="9" t="s">
        <v>114</v>
      </c>
      <c r="B4" s="10" t="s">
        <v>10</v>
      </c>
    </row>
    <row r="5" customFormat="false" ht="15" hidden="false" customHeight="false" outlineLevel="0" collapsed="false">
      <c r="A5" s="11"/>
      <c r="B5" s="11"/>
    </row>
    <row r="6" customFormat="false" ht="15" hidden="false" customHeight="false" outlineLevel="0" collapsed="false">
      <c r="A6" s="9" t="s">
        <v>3</v>
      </c>
      <c r="B6" s="4" t="str">
        <f aca="false">IFERROR(INDEX(Raw_Inventory!B5:B76,MATCH($B$4,Raw_Inventory!A5:A76,0)),"Not found")</f>
        <v>T-Shirt</v>
      </c>
    </row>
    <row r="7" customFormat="false" ht="15" hidden="false" customHeight="false" outlineLevel="0" collapsed="false">
      <c r="A7" s="9" t="s">
        <v>4</v>
      </c>
      <c r="B7" s="4" t="str">
        <f aca="false">IFERROR(INDEX(Raw_Inventory!C5:C76,MATCH($B$4,Raw_Inventory!A5:A76,0)),"Not found")</f>
        <v>Summer</v>
      </c>
    </row>
    <row r="8" customFormat="false" ht="15" hidden="false" customHeight="false" outlineLevel="0" collapsed="false">
      <c r="A8" s="9" t="s">
        <v>5</v>
      </c>
      <c r="B8" s="4" t="str">
        <f aca="false">IFERROR(INDEX(Raw_Inventory!D5:D76,MATCH($B$4,Raw_Inventory!A5:A76,0)),"Not found")</f>
        <v>Mar</v>
      </c>
    </row>
    <row r="9" customFormat="false" ht="15" hidden="false" customHeight="false" outlineLevel="0" collapsed="false">
      <c r="A9" s="9" t="s">
        <v>6</v>
      </c>
      <c r="B9" s="4" t="n">
        <f aca="false">IFERROR(INDEX(Raw_Inventory!E5:E76,MATCH($B$4,Raw_Inventory!A5:A76,0)),"Not found")</f>
        <v>96</v>
      </c>
    </row>
    <row r="10" customFormat="false" ht="15" hidden="false" customHeight="false" outlineLevel="0" collapsed="false">
      <c r="A10" s="9" t="s">
        <v>7</v>
      </c>
      <c r="B10" s="4" t="n">
        <f aca="false">IFERROR(INDEX(Raw_Inventory!F5:F76,MATCH($B$4,Raw_Inventory!A5:A76,0)),"Not found")</f>
        <v>85</v>
      </c>
    </row>
    <row r="11" customFormat="false" ht="15" hidden="false" customHeight="false" outlineLevel="0" collapsed="false">
      <c r="A11" s="9" t="s">
        <v>8</v>
      </c>
      <c r="B11" s="5" t="n">
        <f aca="false">IFERROR(INDEX(Raw_Inventory!G5:G76,MATCH($B$4,Raw_Inventory!A5:A76,0)),"Not found")</f>
        <v>641.76</v>
      </c>
    </row>
    <row r="12" customFormat="false" ht="15" hidden="false" customHeight="false" outlineLevel="0" collapsed="false">
      <c r="A12" s="9" t="s">
        <v>9</v>
      </c>
      <c r="B12" s="4" t="n">
        <f aca="false">IFERROR(INDEX(Raw_Inventory!H5:H76,MATCH($B$4,Raw_Inventory!A5:A76,0)),"Not found")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2026-07-15T06:22:49Z</dcterms:created>
  <dc:creator>openpyxl</dc:creator>
  <dc:description/>
  <dc:language>en-US</dc:language>
  <cp:lastModifiedBy/>
  <dcterms:modified xsi:type="dcterms:W3CDTF">2026-07-15T06:22:49Z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